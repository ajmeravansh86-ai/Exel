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818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5" l="1"/>
  <c r="J4" i="5"/>
  <c r="I5" i="5"/>
  <c r="I6" i="5"/>
  <c r="I4" i="5"/>
  <c r="H6" i="5"/>
  <c r="H5" i="5"/>
  <c r="H4" i="5"/>
  <c r="G7" i="4"/>
  <c r="G6" i="4"/>
  <c r="G5" i="4"/>
  <c r="G4" i="4"/>
  <c r="C70" i="1" l="1"/>
</calcChain>
</file>

<file path=xl/sharedStrings.xml><?xml version="1.0" encoding="utf-8"?>
<sst xmlns="http://schemas.openxmlformats.org/spreadsheetml/2006/main" count="236" uniqueCount="142">
  <si>
    <t>Name</t>
  </si>
  <si>
    <t>Department</t>
  </si>
  <si>
    <t>Salary</t>
  </si>
  <si>
    <t>Joining date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</si>
  <si>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</si>
  <si>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</si>
  <si>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</si>
  <si>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</si>
  <si>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</si>
  <si>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</si>
  <si>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</si>
  <si>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</si>
  <si>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</si>
  <si>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</si>
  <si>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</si>
  <si>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</si>
  <si>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</si>
  <si>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</si>
  <si>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</si>
  <si>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</si>
  <si>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</si>
  <si>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</si>
  <si>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</si>
  <si>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</si>
  <si>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Amit Sharma</t>
  </si>
  <si>
    <t>Rahul Mehta</t>
  </si>
  <si>
    <t>Pooja Singh</t>
  </si>
  <si>
    <t>Ankit Patel</t>
  </si>
  <si>
    <t>HR</t>
  </si>
  <si>
    <t>IT</t>
  </si>
  <si>
    <t>Finance</t>
  </si>
  <si>
    <t>Sales</t>
  </si>
  <si>
    <t xml:space="preserve"> EMPLOYEE ID</t>
  </si>
  <si>
    <t>Employee sheet basic formating</t>
  </si>
  <si>
    <t>TASK 2 Sales Report Beautification</t>
  </si>
  <si>
    <t>Product Name</t>
  </si>
  <si>
    <t>Region</t>
  </si>
  <si>
    <t>Sales Amount</t>
  </si>
  <si>
    <t>SalesPerson</t>
  </si>
  <si>
    <t>Laptop Dell Inspiration 15</t>
  </si>
  <si>
    <t>HP Wireless Mouse</t>
  </si>
  <si>
    <t>Samsung 24 inch Momitor</t>
  </si>
  <si>
    <t>Lenovo ThinkPed E14 Laptop</t>
  </si>
  <si>
    <t>Apple MacBook Air M1 Laptop</t>
  </si>
  <si>
    <t>Dell Latitude 5420 Laptop</t>
  </si>
  <si>
    <t>HP Pavilion 14 Laptop</t>
  </si>
  <si>
    <t>Lenovo IdeaPad Slim 5</t>
  </si>
  <si>
    <t>ASUS VivoBook 15</t>
  </si>
  <si>
    <t>Samsung Galaxy Tab S9</t>
  </si>
  <si>
    <t>Apple iPad 10th Generation</t>
  </si>
  <si>
    <t>Logitech Wireless Keyboard &amp; Mouse Combo</t>
  </si>
  <si>
    <t>Canon Pixma Inkjet Printer</t>
  </si>
  <si>
    <t>Epson L3250 All-in-One Printer</t>
  </si>
  <si>
    <t>WD 1TB External Hard Drive</t>
  </si>
  <si>
    <t>Seagate 2TB Portable HDD</t>
  </si>
  <si>
    <t>SanDisk 128GB Pen Drive</t>
  </si>
  <si>
    <t>Samsung 1TB SSD</t>
  </si>
  <si>
    <t>TP-Link Wi-Fi Router Archer C6</t>
  </si>
  <si>
    <t>North</t>
  </si>
  <si>
    <t>West</t>
  </si>
  <si>
    <t>East</t>
  </si>
  <si>
    <t>South</t>
  </si>
  <si>
    <t>Ramesh</t>
  </si>
  <si>
    <t>Sneha</t>
  </si>
  <si>
    <t>Arjun</t>
  </si>
  <si>
    <t>Kavita</t>
  </si>
  <si>
    <t>Task 3 Student MarkSheet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</si>
  <si>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</si>
  <si>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</si>
  <si>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</si>
  <si>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</si>
  <si>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</si>
  <si>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</si>
  <si>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</si>
  <si>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</si>
  <si>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</si>
  <si>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</si>
  <si>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</si>
  <si>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Farhan</t>
  </si>
  <si>
    <t>Gauri</t>
  </si>
  <si>
    <t>Harsh</t>
  </si>
  <si>
    <t>Isha</t>
  </si>
  <si>
    <t>A</t>
  </si>
  <si>
    <t>Jay</t>
  </si>
  <si>
    <t>Kavya</t>
  </si>
  <si>
    <t>Laksh</t>
  </si>
  <si>
    <t>Mehul</t>
  </si>
  <si>
    <t>Nisha</t>
  </si>
  <si>
    <t>Om</t>
  </si>
  <si>
    <t>Sales Report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</si>
  <si>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</si>
  <si>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</si>
  <si>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</si>
  <si>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</si>
  <si>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</si>
  <si>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</si>
  <si>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</si>
  <si>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</si>
  <si>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</si>
  <si>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</si>
  <si>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</si>
  <si>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</si>
  <si>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</si>
  <si>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</si>
  <si>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</si>
  <si>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</si>
  <si>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</si>
  <si>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</si>
  <si>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</si>
  <si>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</si>
  <si>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</si>
  <si>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</si>
  <si>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Sales Summary Box</t>
  </si>
  <si>
    <t>Metric</t>
  </si>
  <si>
    <t>Value</t>
  </si>
  <si>
    <t>Total Sales</t>
  </si>
  <si>
    <t>Average Sales</t>
  </si>
  <si>
    <t>Highest Sale</t>
  </si>
  <si>
    <t>Lowest Sale</t>
  </si>
  <si>
    <t>Task 5 Department Wise Salary Analysis</t>
  </si>
  <si>
    <t>Employee Name</t>
  </si>
  <si>
    <t>Suresh</t>
  </si>
  <si>
    <t>Meena</t>
  </si>
  <si>
    <t>Karan</t>
  </si>
  <si>
    <t>Ritu</t>
  </si>
  <si>
    <t>Aman</t>
  </si>
  <si>
    <t>Neel</t>
  </si>
  <si>
    <t>Priya</t>
  </si>
  <si>
    <t>Rohit</t>
  </si>
  <si>
    <t>Anjali</t>
  </si>
  <si>
    <t>Vikas</t>
  </si>
  <si>
    <t>Pankaj</t>
  </si>
  <si>
    <t>Seema</t>
  </si>
  <si>
    <t>Nitin</t>
  </si>
  <si>
    <t>Manish</t>
  </si>
  <si>
    <t>Deepa</t>
  </si>
  <si>
    <t>Sanjay</t>
  </si>
  <si>
    <t>Alok</t>
  </si>
  <si>
    <t>Final Summery Table</t>
  </si>
  <si>
    <t>Total Salary</t>
  </si>
  <si>
    <t>Average Salary</t>
  </si>
  <si>
    <t>Employee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</si>
</sst>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₹&quot;\ #,##0;[Red]&quot;₹&quot;\ \-#,##0"/>
    <numFmt numFmtId="164" formatCode="&quot;₹&quot;\ #,##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name val="Segoe UI"/>
      <family val="2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/>
    <xf numFmtId="164" fontId="2" fillId="2" borderId="1" xfId="0" applyNumberFormat="1" applyFont="1" applyFill="1" applyBorder="1"/>
    <xf numFmtId="0" fontId="3" fillId="2" borderId="1" xfId="0" applyFont="1" applyFill="1" applyBorder="1"/>
    <xf numFmtId="14" fontId="2" fillId="2" borderId="1" xfId="0" applyNumberFormat="1" applyFont="1" applyFill="1" applyBorder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4" fillId="4" borderId="1" xfId="0" applyFont="1" applyFill="1" applyBorder="1"/>
    <xf numFmtId="164" fontId="4" fillId="4" borderId="1" xfId="0" applyNumberFormat="1" applyFont="1" applyFill="1" applyBorder="1"/>
    <xf numFmtId="0" fontId="4" fillId="4" borderId="1" xfId="0" applyFont="1" applyFill="1" applyBorder="1" applyAlignment="1"/>
    <xf numFmtId="0" fontId="0" fillId="5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/>
    <xf numFmtId="0" fontId="6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6" fontId="0" fillId="6" borderId="1" xfId="0" applyNumberFormat="1" applyFill="1" applyBorder="1" applyAlignment="1">
      <alignment vertical="center" wrapText="1"/>
    </xf>
    <xf numFmtId="14" fontId="4" fillId="6" borderId="1" xfId="0" applyNumberFormat="1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14" fontId="0" fillId="6" borderId="1" xfId="0" applyNumberForma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zoomScale="145" zoomScaleNormal="145" workbookViewId="0">
      <selection activeCell="F4" sqref="F4"/>
    </sheetView>
  </sheetViews>
  <sheetFormatPr defaultRowHeight="14.5" x14ac:dyDescent="0.35"/>
  <cols>
    <col min="1" max="1" width="12.453125" style="5" bestFit="1" customWidth="1"/>
    <col min="2" max="2" width="13.54296875" style="5" bestFit="1" customWidth="1"/>
    <col min="3" max="3" width="10.90625" style="5" bestFit="1" customWidth="1"/>
    <col min="4" max="4" width="7.7265625" style="6" bestFit="1" customWidth="1"/>
    <col min="5" max="5" width="10.7265625" style="5" bestFit="1" customWidth="1"/>
  </cols>
  <sheetData>
    <row r="1" spans="1:5" x14ac:dyDescent="0.35">
      <c r="A1" s="12" t="s">
        <v>33</v>
      </c>
      <c r="B1" s="13"/>
      <c r="C1" s="13"/>
      <c r="D1" s="13"/>
      <c r="E1" s="14"/>
    </row>
    <row r="2" spans="1:5" x14ac:dyDescent="0.35">
      <c r="A2" s="1" t="s">
        <v>32</v>
      </c>
      <c r="B2" s="1" t="s">
        <v>0</v>
      </c>
      <c r="C2" s="1" t="s">
        <v>1</v>
      </c>
      <c r="D2" s="2" t="s">
        <v>2</v>
      </c>
      <c r="E2" s="1" t="s">
        <v>3</v>
      </c>
    </row>
    <row r="3" spans="1:5" ht="17.5" x14ac:dyDescent="0.45">
      <c r="A3" s="1" t="s">
        <v>4</v>
      </c>
      <c r="B3" s="3" t="s">
        <v>24</v>
      </c>
      <c r="C3" s="1" t="s">
        <v>28</v>
      </c>
      <c r="D3" s="2">
        <v>32000</v>
      </c>
      <c r="E3" s="4">
        <v>44573</v>
      </c>
    </row>
    <row r="4" spans="1:5" ht="17.5" x14ac:dyDescent="0.45">
      <c r="A4" s="1" t="s">
        <v>5</v>
      </c>
      <c r="B4" s="3" t="s">
        <v>24</v>
      </c>
      <c r="C4" s="1" t="s">
        <v>29</v>
      </c>
      <c r="D4" s="2">
        <v>45000</v>
      </c>
      <c r="E4" s="4">
        <v>44260</v>
      </c>
    </row>
    <row r="5" spans="1:5" ht="17.5" x14ac:dyDescent="0.45">
      <c r="A5" s="1" t="s">
        <v>6</v>
      </c>
      <c r="B5" s="3" t="s">
        <v>25</v>
      </c>
      <c r="C5" s="1" t="s">
        <v>30</v>
      </c>
      <c r="D5" s="2">
        <v>38000</v>
      </c>
      <c r="E5" s="4">
        <v>44030</v>
      </c>
    </row>
    <row r="6" spans="1:5" ht="17.5" x14ac:dyDescent="0.45">
      <c r="A6" s="1" t="s">
        <v>7</v>
      </c>
      <c r="B6" s="3" t="s">
        <v>26</v>
      </c>
      <c r="C6" s="1" t="s">
        <v>29</v>
      </c>
      <c r="D6" s="2">
        <v>52000</v>
      </c>
      <c r="E6" s="4">
        <v>43779</v>
      </c>
    </row>
    <row r="7" spans="1:5" ht="17.5" x14ac:dyDescent="0.45">
      <c r="A7" s="1" t="s">
        <v>8</v>
      </c>
      <c r="B7" s="3" t="s">
        <v>27</v>
      </c>
      <c r="C7" s="1" t="s">
        <v>31</v>
      </c>
      <c r="D7" s="2">
        <v>30000</v>
      </c>
      <c r="E7" s="4">
        <v>45102</v>
      </c>
    </row>
    <row r="8" spans="1:5" ht="17.5" x14ac:dyDescent="0.45">
      <c r="A8" s="1" t="s">
        <v>9</v>
      </c>
      <c r="B8" s="3" t="s">
        <v>24</v>
      </c>
      <c r="C8" s="1" t="s">
        <v>28</v>
      </c>
      <c r="D8" s="2">
        <v>40300</v>
      </c>
      <c r="E8" s="4">
        <v>44573</v>
      </c>
    </row>
    <row r="9" spans="1:5" ht="17.5" x14ac:dyDescent="0.45">
      <c r="A9" s="1" t="s">
        <v>10</v>
      </c>
      <c r="B9" s="3" t="s">
        <v>24</v>
      </c>
      <c r="C9" s="1" t="s">
        <v>29</v>
      </c>
      <c r="D9" s="2">
        <v>40600</v>
      </c>
      <c r="E9" s="4">
        <v>44260</v>
      </c>
    </row>
    <row r="10" spans="1:5" ht="17.5" x14ac:dyDescent="0.45">
      <c r="A10" s="1" t="s">
        <v>11</v>
      </c>
      <c r="B10" s="3" t="s">
        <v>25</v>
      </c>
      <c r="C10" s="1" t="s">
        <v>30</v>
      </c>
      <c r="D10" s="2">
        <v>40900</v>
      </c>
      <c r="E10" s="4">
        <v>44030</v>
      </c>
    </row>
    <row r="11" spans="1:5" ht="17.5" x14ac:dyDescent="0.45">
      <c r="A11" s="1" t="s">
        <v>12</v>
      </c>
      <c r="B11" s="3" t="s">
        <v>26</v>
      </c>
      <c r="C11" s="1" t="s">
        <v>29</v>
      </c>
      <c r="D11" s="2">
        <v>41200</v>
      </c>
      <c r="E11" s="4">
        <v>43779</v>
      </c>
    </row>
    <row r="12" spans="1:5" ht="17.5" x14ac:dyDescent="0.45">
      <c r="A12" s="1" t="s">
        <v>13</v>
      </c>
      <c r="B12" s="3" t="s">
        <v>27</v>
      </c>
      <c r="C12" s="1" t="s">
        <v>31</v>
      </c>
      <c r="D12" s="2">
        <v>41500</v>
      </c>
      <c r="E12" s="4">
        <v>45102</v>
      </c>
    </row>
    <row r="13" spans="1:5" ht="17.5" x14ac:dyDescent="0.45">
      <c r="A13" s="1" t="s">
        <v>14</v>
      </c>
      <c r="B13" s="3" t="s">
        <v>24</v>
      </c>
      <c r="C13" s="1" t="s">
        <v>28</v>
      </c>
      <c r="D13" s="2">
        <v>41800</v>
      </c>
      <c r="E13" s="4">
        <v>44573</v>
      </c>
    </row>
    <row r="14" spans="1:5" ht="17.5" x14ac:dyDescent="0.45">
      <c r="A14" s="1" t="s">
        <v>15</v>
      </c>
      <c r="B14" s="3" t="s">
        <v>24</v>
      </c>
      <c r="C14" s="1" t="s">
        <v>29</v>
      </c>
      <c r="D14" s="2">
        <v>42100</v>
      </c>
      <c r="E14" s="4">
        <v>44260</v>
      </c>
    </row>
    <row r="15" spans="1:5" ht="17.5" x14ac:dyDescent="0.45">
      <c r="A15" s="1" t="s">
        <v>16</v>
      </c>
      <c r="B15" s="3" t="s">
        <v>25</v>
      </c>
      <c r="C15" s="1" t="s">
        <v>30</v>
      </c>
      <c r="D15" s="2">
        <v>42400</v>
      </c>
      <c r="E15" s="4">
        <v>44030</v>
      </c>
    </row>
    <row r="16" spans="1:5" ht="17.5" x14ac:dyDescent="0.45">
      <c r="A16" s="1" t="s">
        <v>17</v>
      </c>
      <c r="B16" s="3" t="s">
        <v>26</v>
      </c>
      <c r="C16" s="1" t="s">
        <v>29</v>
      </c>
      <c r="D16" s="2">
        <v>42700</v>
      </c>
      <c r="E16" s="4">
        <v>43779</v>
      </c>
    </row>
    <row r="17" spans="1:5" ht="17.5" x14ac:dyDescent="0.45">
      <c r="A17" s="1" t="s">
        <v>18</v>
      </c>
      <c r="B17" s="3" t="s">
        <v>27</v>
      </c>
      <c r="C17" s="1" t="s">
        <v>31</v>
      </c>
      <c r="D17" s="2">
        <v>43000</v>
      </c>
      <c r="E17" s="4">
        <v>45102</v>
      </c>
    </row>
    <row r="18" spans="1:5" ht="17.5" x14ac:dyDescent="0.45">
      <c r="A18" s="1" t="s">
        <v>19</v>
      </c>
      <c r="B18" s="3" t="s">
        <v>24</v>
      </c>
      <c r="C18" s="1" t="s">
        <v>28</v>
      </c>
      <c r="D18" s="2">
        <v>43300</v>
      </c>
      <c r="E18" s="4">
        <v>44573</v>
      </c>
    </row>
    <row r="19" spans="1:5" ht="17.5" x14ac:dyDescent="0.45">
      <c r="A19" s="1" t="s">
        <v>20</v>
      </c>
      <c r="B19" s="3" t="s">
        <v>24</v>
      </c>
      <c r="C19" s="1" t="s">
        <v>29</v>
      </c>
      <c r="D19" s="2">
        <v>43600</v>
      </c>
      <c r="E19" s="4">
        <v>44260</v>
      </c>
    </row>
    <row r="20" spans="1:5" ht="17.5" x14ac:dyDescent="0.45">
      <c r="A20" s="1" t="s">
        <v>21</v>
      </c>
      <c r="B20" s="3" t="s">
        <v>25</v>
      </c>
      <c r="C20" s="1" t="s">
        <v>30</v>
      </c>
      <c r="D20" s="2">
        <v>43900</v>
      </c>
      <c r="E20" s="4">
        <v>44030</v>
      </c>
    </row>
    <row r="21" spans="1:5" ht="17.5" x14ac:dyDescent="0.45">
      <c r="A21" s="1" t="s">
        <v>22</v>
      </c>
      <c r="B21" s="3" t="s">
        <v>26</v>
      </c>
      <c r="C21" s="1" t="s">
        <v>29</v>
      </c>
      <c r="D21" s="2">
        <v>44200</v>
      </c>
      <c r="E21" s="4">
        <v>43779</v>
      </c>
    </row>
    <row r="22" spans="1:5" ht="17.5" x14ac:dyDescent="0.45">
      <c r="A22" s="1" t="s">
        <v>23</v>
      </c>
      <c r="B22" s="3" t="s">
        <v>27</v>
      </c>
      <c r="C22" s="1" t="s">
        <v>28</v>
      </c>
      <c r="D22" s="2">
        <v>44500</v>
      </c>
      <c r="E22" s="4">
        <v>45102</v>
      </c>
    </row>
    <row r="70" spans="3:3" x14ac:dyDescent="0.35">
      <c r="C70" s="5">
        <f>B58</f>
        <v>0</v>
      </c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G9" sqref="G9"/>
    </sheetView>
  </sheetViews>
  <sheetFormatPr defaultRowHeight="14.5" x14ac:dyDescent="0.35"/>
  <cols>
    <col min="1" max="1" width="38.90625" bestFit="1" customWidth="1"/>
    <col min="2" max="2" width="6.453125" customWidth="1"/>
    <col min="3" max="3" width="12.26953125" style="7" bestFit="1" customWidth="1"/>
    <col min="4" max="4" width="10.81640625" bestFit="1" customWidth="1"/>
  </cols>
  <sheetData>
    <row r="1" spans="1:11" ht="23.5" x14ac:dyDescent="0.55000000000000004">
      <c r="A1" s="15" t="s">
        <v>34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35">
      <c r="A2" s="8" t="s">
        <v>35</v>
      </c>
      <c r="B2" s="8" t="s">
        <v>36</v>
      </c>
      <c r="C2" s="9" t="s">
        <v>37</v>
      </c>
      <c r="D2" s="8" t="s">
        <v>38</v>
      </c>
    </row>
    <row r="3" spans="1:11" x14ac:dyDescent="0.35">
      <c r="A3" s="10" t="s">
        <v>39</v>
      </c>
      <c r="B3" s="8" t="s">
        <v>58</v>
      </c>
      <c r="C3" s="9">
        <v>44516</v>
      </c>
      <c r="D3" s="8" t="s">
        <v>62</v>
      </c>
    </row>
    <row r="4" spans="1:11" x14ac:dyDescent="0.35">
      <c r="A4" s="8" t="s">
        <v>40</v>
      </c>
      <c r="B4" s="8" t="s">
        <v>59</v>
      </c>
      <c r="C4" s="9">
        <v>72601</v>
      </c>
      <c r="D4" s="8" t="s">
        <v>63</v>
      </c>
    </row>
    <row r="5" spans="1:11" x14ac:dyDescent="0.35">
      <c r="A5" s="8" t="s">
        <v>41</v>
      </c>
      <c r="B5" s="8" t="s">
        <v>60</v>
      </c>
      <c r="C5" s="9">
        <v>29996</v>
      </c>
      <c r="D5" s="8" t="s">
        <v>64</v>
      </c>
    </row>
    <row r="6" spans="1:11" x14ac:dyDescent="0.35">
      <c r="A6" s="8" t="s">
        <v>42</v>
      </c>
      <c r="B6" s="8" t="s">
        <v>61</v>
      </c>
      <c r="C6" s="9">
        <v>83606</v>
      </c>
      <c r="D6" s="8" t="s">
        <v>65</v>
      </c>
    </row>
    <row r="7" spans="1:11" x14ac:dyDescent="0.35">
      <c r="A7" s="8" t="s">
        <v>43</v>
      </c>
      <c r="B7" s="8" t="s">
        <v>58</v>
      </c>
      <c r="C7" s="9">
        <v>7751</v>
      </c>
      <c r="D7" s="8" t="s">
        <v>62</v>
      </c>
    </row>
    <row r="8" spans="1:11" x14ac:dyDescent="0.35">
      <c r="A8" s="8" t="s">
        <v>44</v>
      </c>
      <c r="B8" s="8" t="s">
        <v>59</v>
      </c>
      <c r="C8" s="9">
        <v>72095</v>
      </c>
      <c r="D8" s="8" t="s">
        <v>63</v>
      </c>
    </row>
    <row r="9" spans="1:11" x14ac:dyDescent="0.35">
      <c r="A9" s="8" t="s">
        <v>45</v>
      </c>
      <c r="B9" s="8" t="s">
        <v>60</v>
      </c>
      <c r="C9" s="9">
        <v>70451</v>
      </c>
      <c r="D9" s="8" t="s">
        <v>64</v>
      </c>
    </row>
    <row r="10" spans="1:11" x14ac:dyDescent="0.35">
      <c r="A10" s="8" t="s">
        <v>46</v>
      </c>
      <c r="B10" s="8" t="s">
        <v>61</v>
      </c>
      <c r="C10" s="9">
        <v>51979</v>
      </c>
      <c r="D10" s="8" t="s">
        <v>65</v>
      </c>
    </row>
    <row r="11" spans="1:11" x14ac:dyDescent="0.35">
      <c r="A11" s="8" t="s">
        <v>47</v>
      </c>
      <c r="B11" s="8" t="s">
        <v>58</v>
      </c>
      <c r="C11" s="9">
        <v>87244</v>
      </c>
      <c r="D11" s="8" t="s">
        <v>62</v>
      </c>
    </row>
    <row r="12" spans="1:11" x14ac:dyDescent="0.35">
      <c r="A12" s="8" t="s">
        <v>48</v>
      </c>
      <c r="B12" s="8" t="s">
        <v>59</v>
      </c>
      <c r="C12" s="9">
        <v>82472</v>
      </c>
      <c r="D12" s="8" t="s">
        <v>63</v>
      </c>
    </row>
    <row r="13" spans="1:11" x14ac:dyDescent="0.35">
      <c r="A13" s="8" t="s">
        <v>49</v>
      </c>
      <c r="B13" s="8" t="s">
        <v>60</v>
      </c>
      <c r="C13" s="9">
        <v>81683</v>
      </c>
      <c r="D13" s="8" t="s">
        <v>64</v>
      </c>
    </row>
    <row r="14" spans="1:11" x14ac:dyDescent="0.35">
      <c r="A14" s="8" t="s">
        <v>50</v>
      </c>
      <c r="B14" s="8" t="s">
        <v>61</v>
      </c>
      <c r="C14" s="9">
        <v>89266</v>
      </c>
      <c r="D14" s="8" t="s">
        <v>65</v>
      </c>
    </row>
    <row r="15" spans="1:11" x14ac:dyDescent="0.35">
      <c r="A15" s="8" t="s">
        <v>51</v>
      </c>
      <c r="B15" s="8" t="s">
        <v>58</v>
      </c>
      <c r="C15" s="9">
        <v>47858</v>
      </c>
      <c r="D15" s="8" t="s">
        <v>62</v>
      </c>
    </row>
    <row r="16" spans="1:11" x14ac:dyDescent="0.35">
      <c r="A16" s="8" t="s">
        <v>52</v>
      </c>
      <c r="B16" s="8" t="s">
        <v>59</v>
      </c>
      <c r="C16" s="9">
        <v>31133</v>
      </c>
      <c r="D16" s="8" t="s">
        <v>63</v>
      </c>
    </row>
    <row r="17" spans="1:4" x14ac:dyDescent="0.35">
      <c r="A17" s="8" t="s">
        <v>53</v>
      </c>
      <c r="B17" s="8" t="s">
        <v>60</v>
      </c>
      <c r="C17" s="9">
        <v>10765</v>
      </c>
      <c r="D17" s="8" t="s">
        <v>64</v>
      </c>
    </row>
    <row r="18" spans="1:4" x14ac:dyDescent="0.35">
      <c r="A18" s="8" t="s">
        <v>54</v>
      </c>
      <c r="B18" s="8" t="s">
        <v>61</v>
      </c>
      <c r="C18" s="9">
        <v>38327</v>
      </c>
      <c r="D18" s="8" t="s">
        <v>65</v>
      </c>
    </row>
    <row r="19" spans="1:4" x14ac:dyDescent="0.35">
      <c r="A19" s="8" t="s">
        <v>55</v>
      </c>
      <c r="B19" s="8" t="s">
        <v>58</v>
      </c>
      <c r="C19" s="9">
        <v>63702</v>
      </c>
      <c r="D19" s="8" t="s">
        <v>62</v>
      </c>
    </row>
    <row r="20" spans="1:4" x14ac:dyDescent="0.35">
      <c r="A20" s="8" t="s">
        <v>56</v>
      </c>
      <c r="B20" s="8" t="s">
        <v>59</v>
      </c>
      <c r="C20" s="9">
        <v>92964</v>
      </c>
      <c r="D20" s="8" t="s">
        <v>63</v>
      </c>
    </row>
    <row r="21" spans="1:4" x14ac:dyDescent="0.35">
      <c r="A21" s="8" t="s">
        <v>57</v>
      </c>
      <c r="B21" s="8" t="s">
        <v>60</v>
      </c>
      <c r="C21" s="9">
        <v>9828</v>
      </c>
      <c r="D21" s="8" t="s">
        <v>64</v>
      </c>
    </row>
  </sheetData>
  <mergeCells count="1">
    <mergeCell ref="A1:K1"/>
  </mergeCells>
  <conditionalFormatting sqref="C2:C21">
    <cfRule type="cellIs" dxfId="1" priority="1" operator="lessThan">
      <formula>50358</formula>
    </cfRule>
    <cfRule type="cellIs" priority="3" operator="greaterThan">
      <formula>50358</formula>
    </cfRule>
  </conditionalFormatting>
  <conditionalFormatting sqref="C1:C1048576">
    <cfRule type="cellIs" dxfId="0" priority="2" operator="greaterThan">
      <formula>50358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I11" sqref="I11"/>
    </sheetView>
  </sheetViews>
  <sheetFormatPr defaultRowHeight="14.5" x14ac:dyDescent="0.35"/>
  <sheetData>
    <row r="1" spans="1:10" ht="26" x14ac:dyDescent="0.6">
      <c r="A1" s="16" t="s">
        <v>66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35">
      <c r="A2" s="11" t="s">
        <v>67</v>
      </c>
      <c r="B2" s="11" t="s">
        <v>68</v>
      </c>
      <c r="C2" s="11" t="s">
        <v>69</v>
      </c>
      <c r="D2" s="11" t="s">
        <v>70</v>
      </c>
      <c r="E2" s="11" t="s">
        <v>71</v>
      </c>
      <c r="F2" s="11" t="s">
        <v>72</v>
      </c>
      <c r="G2" s="11"/>
      <c r="H2" s="11"/>
      <c r="I2" s="11"/>
      <c r="J2" s="11"/>
    </row>
    <row r="3" spans="1:10" x14ac:dyDescent="0.35">
      <c r="A3" s="11">
        <v>1</v>
      </c>
      <c r="B3" s="11" t="s">
        <v>73</v>
      </c>
      <c r="C3" s="11">
        <v>78</v>
      </c>
      <c r="D3" s="11">
        <v>82</v>
      </c>
      <c r="E3" s="11">
        <v>74</v>
      </c>
      <c r="F3" s="11">
        <v>78</v>
      </c>
      <c r="G3" s="11"/>
      <c r="H3" s="11"/>
      <c r="I3" s="11"/>
      <c r="J3" s="11"/>
    </row>
    <row r="4" spans="1:10" x14ac:dyDescent="0.35">
      <c r="A4" s="11">
        <v>2</v>
      </c>
      <c r="B4" s="11" t="s">
        <v>74</v>
      </c>
      <c r="C4" s="11">
        <v>65</v>
      </c>
      <c r="D4" s="11">
        <v>70</v>
      </c>
      <c r="E4" s="11">
        <v>68</v>
      </c>
      <c r="F4" s="11">
        <v>67.666666669999998</v>
      </c>
      <c r="G4" s="11"/>
      <c r="H4" s="11"/>
      <c r="I4" s="11"/>
      <c r="J4" s="11"/>
    </row>
    <row r="5" spans="1:10" x14ac:dyDescent="0.35">
      <c r="A5" s="11">
        <v>3</v>
      </c>
      <c r="B5" s="11" t="s">
        <v>75</v>
      </c>
      <c r="C5" s="11">
        <v>90</v>
      </c>
      <c r="D5" s="11">
        <v>88</v>
      </c>
      <c r="E5" s="11">
        <v>92</v>
      </c>
      <c r="F5" s="11">
        <v>90</v>
      </c>
      <c r="G5" s="11"/>
      <c r="H5" s="11"/>
      <c r="I5" s="11"/>
      <c r="J5" s="11"/>
    </row>
    <row r="6" spans="1:10" x14ac:dyDescent="0.35">
      <c r="A6" s="11">
        <v>4</v>
      </c>
      <c r="B6" s="11" t="s">
        <v>76</v>
      </c>
      <c r="C6" s="11">
        <v>35</v>
      </c>
      <c r="D6" s="11">
        <v>40</v>
      </c>
      <c r="E6" s="11">
        <v>38</v>
      </c>
      <c r="F6" s="11">
        <v>37.666666669999998</v>
      </c>
      <c r="G6" s="11"/>
      <c r="H6" s="11"/>
      <c r="I6" s="11"/>
      <c r="J6" s="11"/>
    </row>
    <row r="7" spans="1:10" x14ac:dyDescent="0.35">
      <c r="A7" s="11">
        <v>5</v>
      </c>
      <c r="B7" s="11" t="s">
        <v>77</v>
      </c>
      <c r="C7" s="11">
        <v>55</v>
      </c>
      <c r="D7" s="11">
        <v>60</v>
      </c>
      <c r="E7" s="11">
        <v>58</v>
      </c>
      <c r="F7" s="11">
        <v>57.666666669999998</v>
      </c>
      <c r="G7" s="11"/>
      <c r="H7" s="11"/>
      <c r="I7" s="11"/>
      <c r="J7" s="11"/>
    </row>
    <row r="8" spans="1:10" x14ac:dyDescent="0.35">
      <c r="A8" s="11">
        <v>6</v>
      </c>
      <c r="B8" s="11" t="s">
        <v>78</v>
      </c>
      <c r="C8" s="11">
        <v>72</v>
      </c>
      <c r="D8" s="11">
        <v>75</v>
      </c>
      <c r="E8" s="11">
        <v>70</v>
      </c>
      <c r="F8" s="11">
        <v>72.333333330000002</v>
      </c>
      <c r="G8" s="11"/>
      <c r="H8" s="11"/>
      <c r="I8" s="11"/>
      <c r="J8" s="11"/>
    </row>
    <row r="9" spans="1:10" x14ac:dyDescent="0.35">
      <c r="A9" s="11">
        <v>7</v>
      </c>
      <c r="B9" s="11" t="s">
        <v>79</v>
      </c>
      <c r="C9" s="11">
        <v>85</v>
      </c>
      <c r="D9" s="11">
        <v>88</v>
      </c>
      <c r="E9" s="11">
        <v>82</v>
      </c>
      <c r="F9" s="11">
        <v>85</v>
      </c>
      <c r="G9" s="11"/>
      <c r="H9" s="11"/>
      <c r="I9" s="11"/>
      <c r="J9" s="11"/>
    </row>
    <row r="10" spans="1:10" x14ac:dyDescent="0.35">
      <c r="A10" s="11">
        <v>8</v>
      </c>
      <c r="B10" s="11" t="s">
        <v>80</v>
      </c>
      <c r="C10" s="11">
        <v>48</v>
      </c>
      <c r="D10" s="11">
        <v>52</v>
      </c>
      <c r="E10" s="11">
        <v>50</v>
      </c>
      <c r="F10" s="11">
        <v>50</v>
      </c>
      <c r="G10" s="11"/>
      <c r="H10" s="11"/>
      <c r="I10" s="11"/>
      <c r="J10" s="11"/>
    </row>
    <row r="11" spans="1:10" x14ac:dyDescent="0.35">
      <c r="A11" s="11">
        <v>9</v>
      </c>
      <c r="B11" s="11" t="s">
        <v>81</v>
      </c>
      <c r="C11" s="11">
        <v>95</v>
      </c>
      <c r="D11" s="11">
        <v>92</v>
      </c>
      <c r="E11" s="11">
        <v>94</v>
      </c>
      <c r="F11" s="11">
        <v>93.666666669999998</v>
      </c>
      <c r="G11" s="11"/>
      <c r="H11" s="11" t="s">
        <v>82</v>
      </c>
      <c r="I11" s="11"/>
      <c r="J11" s="11"/>
    </row>
    <row r="12" spans="1:10" x14ac:dyDescent="0.35">
      <c r="A12" s="11">
        <v>10</v>
      </c>
      <c r="B12" s="11" t="s">
        <v>83</v>
      </c>
      <c r="C12" s="11">
        <v>33</v>
      </c>
      <c r="D12" s="11">
        <v>38</v>
      </c>
      <c r="E12" s="11">
        <v>35</v>
      </c>
      <c r="F12" s="11">
        <v>35.333333330000002</v>
      </c>
      <c r="G12" s="11"/>
      <c r="H12" s="11"/>
      <c r="I12" s="11"/>
      <c r="J12" s="11"/>
    </row>
    <row r="13" spans="1:10" x14ac:dyDescent="0.35">
      <c r="A13" s="11">
        <v>11</v>
      </c>
      <c r="B13" s="11" t="s">
        <v>84</v>
      </c>
      <c r="C13" s="11">
        <v>68</v>
      </c>
      <c r="D13" s="11">
        <v>72</v>
      </c>
      <c r="E13" s="11">
        <v>70</v>
      </c>
      <c r="F13" s="11">
        <v>70</v>
      </c>
      <c r="G13" s="11"/>
      <c r="H13" s="11"/>
      <c r="I13" s="11"/>
      <c r="J13" s="11"/>
    </row>
    <row r="14" spans="1:10" x14ac:dyDescent="0.35">
      <c r="A14" s="11">
        <v>12</v>
      </c>
      <c r="B14" s="11" t="s">
        <v>85</v>
      </c>
      <c r="C14" s="11">
        <v>80</v>
      </c>
      <c r="D14" s="11">
        <v>78</v>
      </c>
      <c r="E14" s="11">
        <v>76</v>
      </c>
      <c r="F14" s="11">
        <v>78</v>
      </c>
      <c r="G14" s="11"/>
      <c r="H14" s="11"/>
      <c r="I14" s="11"/>
      <c r="J14" s="11"/>
    </row>
    <row r="15" spans="1:10" x14ac:dyDescent="0.35">
      <c r="A15" s="11">
        <v>13</v>
      </c>
      <c r="B15" s="11" t="s">
        <v>86</v>
      </c>
      <c r="C15" s="11">
        <v>58</v>
      </c>
      <c r="D15" s="11">
        <v>55</v>
      </c>
      <c r="E15" s="11">
        <v>60</v>
      </c>
      <c r="F15" s="11">
        <v>57.666666669999998</v>
      </c>
      <c r="G15" s="11"/>
      <c r="H15" s="11"/>
      <c r="I15" s="11"/>
      <c r="J15" s="11"/>
    </row>
    <row r="16" spans="1:10" x14ac:dyDescent="0.35">
      <c r="A16" s="11">
        <v>14</v>
      </c>
      <c r="B16" s="11" t="s">
        <v>87</v>
      </c>
      <c r="C16" s="11">
        <v>88</v>
      </c>
      <c r="D16" s="11">
        <v>90</v>
      </c>
      <c r="E16" s="11">
        <v>86</v>
      </c>
      <c r="F16" s="11">
        <v>88</v>
      </c>
      <c r="G16" s="11"/>
      <c r="H16" s="11"/>
      <c r="I16" s="11"/>
      <c r="J16" s="11"/>
    </row>
    <row r="17" spans="1:10" x14ac:dyDescent="0.35">
      <c r="A17" s="11">
        <v>15</v>
      </c>
      <c r="B17" s="11" t="s">
        <v>88</v>
      </c>
      <c r="C17" s="11">
        <v>42</v>
      </c>
      <c r="D17" s="11">
        <v>45</v>
      </c>
      <c r="E17" s="11">
        <v>40</v>
      </c>
      <c r="F17" s="11">
        <v>42.333333330000002</v>
      </c>
      <c r="G17" s="11"/>
      <c r="H17" s="11"/>
      <c r="I17" s="11"/>
      <c r="J17" s="11"/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H15" sqref="H15"/>
    </sheetView>
  </sheetViews>
  <sheetFormatPr defaultRowHeight="14.5" x14ac:dyDescent="0.35"/>
  <cols>
    <col min="2" max="2" width="10.08984375" style="20" bestFit="1" customWidth="1"/>
    <col min="7" max="7" width="9.1796875" bestFit="1" customWidth="1"/>
  </cols>
  <sheetData>
    <row r="1" spans="1:9" ht="26" x14ac:dyDescent="0.6">
      <c r="A1" s="21" t="s">
        <v>89</v>
      </c>
      <c r="B1" s="22"/>
      <c r="C1" s="22"/>
      <c r="D1" s="22"/>
      <c r="E1" s="22"/>
      <c r="F1" s="22"/>
      <c r="G1" s="22"/>
      <c r="H1" s="22"/>
    </row>
    <row r="2" spans="1:9" ht="29" x14ac:dyDescent="0.6">
      <c r="A2" s="27" t="s">
        <v>90</v>
      </c>
      <c r="B2" s="29" t="s">
        <v>91</v>
      </c>
      <c r="C2" s="27" t="s">
        <v>37</v>
      </c>
      <c r="E2" s="23" t="s">
        <v>112</v>
      </c>
      <c r="F2" s="24"/>
      <c r="G2" s="24"/>
      <c r="H2" s="24"/>
      <c r="I2" s="24"/>
    </row>
    <row r="3" spans="1:9" x14ac:dyDescent="0.35">
      <c r="A3" s="30" t="s">
        <v>92</v>
      </c>
      <c r="B3" s="31">
        <v>45292</v>
      </c>
      <c r="C3" s="30">
        <v>12000</v>
      </c>
      <c r="E3" s="25"/>
      <c r="F3" s="26" t="s">
        <v>113</v>
      </c>
      <c r="G3" s="26" t="s">
        <v>114</v>
      </c>
      <c r="H3" s="25"/>
      <c r="I3" s="25"/>
    </row>
    <row r="4" spans="1:9" ht="29" x14ac:dyDescent="0.35">
      <c r="A4" s="30" t="s">
        <v>93</v>
      </c>
      <c r="B4" s="31">
        <v>45294</v>
      </c>
      <c r="C4" s="30">
        <v>25000</v>
      </c>
      <c r="E4" s="25"/>
      <c r="F4" s="27" t="s">
        <v>115</v>
      </c>
      <c r="G4" s="28">
        <f>SUM(C3:C22)</f>
        <v>448000</v>
      </c>
      <c r="H4" s="25"/>
      <c r="I4" s="25"/>
    </row>
    <row r="5" spans="1:9" ht="29" x14ac:dyDescent="0.35">
      <c r="A5" s="30" t="s">
        <v>94</v>
      </c>
      <c r="B5" s="31">
        <v>45296</v>
      </c>
      <c r="C5" s="30">
        <v>8000</v>
      </c>
      <c r="E5" s="25"/>
      <c r="F5" s="27" t="s">
        <v>116</v>
      </c>
      <c r="G5" s="28">
        <f>AVERAGE(C3:C22)</f>
        <v>22400</v>
      </c>
      <c r="H5" s="25"/>
      <c r="I5" s="25"/>
    </row>
    <row r="6" spans="1:9" ht="29" x14ac:dyDescent="0.35">
      <c r="A6" s="30" t="s">
        <v>95</v>
      </c>
      <c r="B6" s="31">
        <v>45299</v>
      </c>
      <c r="C6" s="30">
        <v>32000</v>
      </c>
      <c r="E6" s="25"/>
      <c r="F6" s="27" t="s">
        <v>117</v>
      </c>
      <c r="G6" s="28">
        <f>MAX(C3:C22)</f>
        <v>42000</v>
      </c>
      <c r="H6" s="25"/>
      <c r="I6" s="25"/>
    </row>
    <row r="7" spans="1:9" ht="29" x14ac:dyDescent="0.35">
      <c r="A7" s="30" t="s">
        <v>96</v>
      </c>
      <c r="B7" s="31">
        <v>45301</v>
      </c>
      <c r="C7" s="30">
        <v>15000</v>
      </c>
      <c r="E7" s="25"/>
      <c r="F7" s="27" t="s">
        <v>118</v>
      </c>
      <c r="G7" s="28">
        <f>MIN(C3:C22)</f>
        <v>8000</v>
      </c>
      <c r="H7" s="25"/>
      <c r="I7" s="25"/>
    </row>
    <row r="8" spans="1:9" x14ac:dyDescent="0.35">
      <c r="A8" s="30" t="s">
        <v>97</v>
      </c>
      <c r="B8" s="31">
        <v>45303</v>
      </c>
      <c r="C8" s="30">
        <v>18000</v>
      </c>
    </row>
    <row r="9" spans="1:9" x14ac:dyDescent="0.35">
      <c r="A9" s="30" t="s">
        <v>98</v>
      </c>
      <c r="B9" s="31">
        <v>45305</v>
      </c>
      <c r="C9" s="30">
        <v>22000</v>
      </c>
    </row>
    <row r="10" spans="1:9" x14ac:dyDescent="0.35">
      <c r="A10" s="30" t="s">
        <v>99</v>
      </c>
      <c r="B10" s="31">
        <v>45307</v>
      </c>
      <c r="C10" s="30">
        <v>9500</v>
      </c>
    </row>
    <row r="11" spans="1:9" x14ac:dyDescent="0.35">
      <c r="A11" s="30" t="s">
        <v>100</v>
      </c>
      <c r="B11" s="31">
        <v>45309</v>
      </c>
      <c r="C11" s="30">
        <v>40000</v>
      </c>
    </row>
    <row r="12" spans="1:9" x14ac:dyDescent="0.35">
      <c r="A12" s="30" t="s">
        <v>101</v>
      </c>
      <c r="B12" s="31">
        <v>45311</v>
      </c>
      <c r="C12" s="30">
        <v>27500</v>
      </c>
    </row>
    <row r="13" spans="1:9" x14ac:dyDescent="0.35">
      <c r="A13" s="30" t="s">
        <v>102</v>
      </c>
      <c r="B13" s="31">
        <v>45313</v>
      </c>
      <c r="C13" s="30">
        <v>16000</v>
      </c>
    </row>
    <row r="14" spans="1:9" x14ac:dyDescent="0.35">
      <c r="A14" s="30" t="s">
        <v>103</v>
      </c>
      <c r="B14" s="31">
        <v>45315</v>
      </c>
      <c r="C14" s="30">
        <v>30000</v>
      </c>
    </row>
    <row r="15" spans="1:9" x14ac:dyDescent="0.35">
      <c r="A15" s="30" t="s">
        <v>104</v>
      </c>
      <c r="B15" s="31">
        <v>45317</v>
      </c>
      <c r="C15" s="30">
        <v>21000</v>
      </c>
    </row>
    <row r="16" spans="1:9" x14ac:dyDescent="0.35">
      <c r="A16" s="30" t="s">
        <v>105</v>
      </c>
      <c r="B16" s="31">
        <v>45319</v>
      </c>
      <c r="C16" s="30">
        <v>12500</v>
      </c>
    </row>
    <row r="17" spans="1:3" x14ac:dyDescent="0.35">
      <c r="A17" s="30" t="s">
        <v>106</v>
      </c>
      <c r="B17" s="31">
        <v>45321</v>
      </c>
      <c r="C17" s="30">
        <v>35000</v>
      </c>
    </row>
    <row r="18" spans="1:3" x14ac:dyDescent="0.35">
      <c r="A18" s="30" t="s">
        <v>107</v>
      </c>
      <c r="B18" s="31">
        <v>45323</v>
      </c>
      <c r="C18" s="30">
        <v>9000</v>
      </c>
    </row>
    <row r="19" spans="1:3" x14ac:dyDescent="0.35">
      <c r="A19" s="30" t="s">
        <v>108</v>
      </c>
      <c r="B19" s="31">
        <v>45325</v>
      </c>
      <c r="C19" s="30">
        <v>28000</v>
      </c>
    </row>
    <row r="20" spans="1:3" x14ac:dyDescent="0.35">
      <c r="A20" s="30" t="s">
        <v>109</v>
      </c>
      <c r="B20" s="31">
        <v>45327</v>
      </c>
      <c r="C20" s="30">
        <v>19500</v>
      </c>
    </row>
    <row r="21" spans="1:3" x14ac:dyDescent="0.35">
      <c r="A21" s="30" t="s">
        <v>110</v>
      </c>
      <c r="B21" s="31">
        <v>45329</v>
      </c>
      <c r="C21" s="30">
        <v>26000</v>
      </c>
    </row>
    <row r="22" spans="1:3" x14ac:dyDescent="0.35">
      <c r="A22" s="30" t="s">
        <v>111</v>
      </c>
      <c r="B22" s="31">
        <v>45331</v>
      </c>
      <c r="C22" s="30">
        <v>42000</v>
      </c>
    </row>
  </sheetData>
  <mergeCells count="2">
    <mergeCell ref="A1:H1"/>
    <mergeCell ref="E2:I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G17" sqref="G17"/>
    </sheetView>
  </sheetViews>
  <sheetFormatPr defaultRowHeight="14.5" x14ac:dyDescent="0.35"/>
  <cols>
    <col min="1" max="1" width="8" customWidth="1"/>
    <col min="2" max="2" width="8.26953125" customWidth="1"/>
    <col min="3" max="3" width="5.81640625" customWidth="1"/>
  </cols>
  <sheetData>
    <row r="1" spans="1:12" ht="26" x14ac:dyDescent="0.6">
      <c r="A1" s="19" t="s">
        <v>119</v>
      </c>
      <c r="B1" s="18"/>
      <c r="C1" s="18"/>
      <c r="D1" s="18"/>
      <c r="E1" s="18"/>
      <c r="F1" s="18"/>
      <c r="G1" s="18"/>
      <c r="H1" s="18"/>
      <c r="I1" s="18"/>
    </row>
    <row r="2" spans="1:12" ht="29" x14ac:dyDescent="0.6">
      <c r="A2" s="26" t="s">
        <v>120</v>
      </c>
      <c r="B2" s="26" t="s">
        <v>1</v>
      </c>
      <c r="C2" s="26" t="s">
        <v>2</v>
      </c>
      <c r="F2" s="23" t="s">
        <v>138</v>
      </c>
      <c r="G2" s="24"/>
      <c r="H2" s="24"/>
      <c r="I2" s="24"/>
      <c r="J2" s="24"/>
      <c r="K2" s="24"/>
      <c r="L2" s="24"/>
    </row>
    <row r="3" spans="1:12" ht="29" x14ac:dyDescent="0.35">
      <c r="A3" s="30" t="s">
        <v>121</v>
      </c>
      <c r="B3" s="30" t="s">
        <v>28</v>
      </c>
      <c r="C3" s="30">
        <v>28000</v>
      </c>
      <c r="F3" s="25"/>
      <c r="G3" s="26" t="s">
        <v>1</v>
      </c>
      <c r="H3" s="26" t="s">
        <v>139</v>
      </c>
      <c r="I3" s="26" t="s">
        <v>140</v>
      </c>
      <c r="J3" s="26" t="s">
        <v>141</v>
      </c>
      <c r="K3" s="25"/>
      <c r="L3" s="25"/>
    </row>
    <row r="4" spans="1:12" x14ac:dyDescent="0.35">
      <c r="A4" s="30" t="s">
        <v>122</v>
      </c>
      <c r="B4" s="30" t="s">
        <v>29</v>
      </c>
      <c r="C4" s="30">
        <v>45000</v>
      </c>
      <c r="F4" s="25"/>
      <c r="G4" s="25" t="s">
        <v>28</v>
      </c>
      <c r="H4" s="25">
        <f>SUMIF(B3:B23,"HR",C3:C23)</f>
        <v>223000</v>
      </c>
      <c r="I4" s="25">
        <f>AVERAGEIF(B3:B23,"HR",C3:C23)</f>
        <v>31857.142857142859</v>
      </c>
      <c r="J4" s="25">
        <f>COUNTIF(B3:B23,"HR")</f>
        <v>7</v>
      </c>
      <c r="K4" s="25"/>
      <c r="L4" s="25"/>
    </row>
    <row r="5" spans="1:12" x14ac:dyDescent="0.35">
      <c r="A5" s="30" t="s">
        <v>123</v>
      </c>
      <c r="B5" s="30" t="s">
        <v>29</v>
      </c>
      <c r="C5" s="30">
        <v>50000</v>
      </c>
      <c r="F5" s="25"/>
      <c r="G5" s="25" t="s">
        <v>29</v>
      </c>
      <c r="H5" s="25">
        <f>SUMIF(B3:B23,"IT",C3:C23)</f>
        <v>342000</v>
      </c>
      <c r="I5" s="25">
        <f t="shared" ref="I5:I6" si="0">AVERAGEIF(B4:B24,"HR",C4:C24)</f>
        <v>32500</v>
      </c>
      <c r="J5" s="25">
        <v>7</v>
      </c>
      <c r="K5" s="25"/>
      <c r="L5" s="25"/>
    </row>
    <row r="6" spans="1:12" x14ac:dyDescent="0.35">
      <c r="A6" s="30" t="s">
        <v>124</v>
      </c>
      <c r="B6" s="30" t="s">
        <v>30</v>
      </c>
      <c r="C6" s="30">
        <v>42000</v>
      </c>
      <c r="F6" s="25"/>
      <c r="G6" s="25" t="s">
        <v>30</v>
      </c>
      <c r="H6" s="25">
        <f>SUMIF(B3:B23,"Finance",C3:C23)</f>
        <v>262300</v>
      </c>
      <c r="I6" s="25">
        <f t="shared" si="0"/>
        <v>32500</v>
      </c>
      <c r="J6" s="25">
        <f t="shared" ref="J5:J6" si="1">COUNTIF(B5:B25,"HR")</f>
        <v>6</v>
      </c>
      <c r="K6" s="25"/>
      <c r="L6" s="25"/>
    </row>
    <row r="7" spans="1:12" x14ac:dyDescent="0.35">
      <c r="A7" s="30" t="s">
        <v>125</v>
      </c>
      <c r="B7" s="30" t="s">
        <v>28</v>
      </c>
      <c r="C7" s="30">
        <v>30000</v>
      </c>
      <c r="F7" s="25"/>
      <c r="G7" s="25"/>
      <c r="H7" s="25"/>
      <c r="I7" s="25"/>
      <c r="J7" s="25"/>
      <c r="K7" s="25"/>
      <c r="L7" s="25"/>
    </row>
    <row r="8" spans="1:12" x14ac:dyDescent="0.35">
      <c r="A8" s="30" t="s">
        <v>126</v>
      </c>
      <c r="B8" s="30" t="s">
        <v>30</v>
      </c>
      <c r="C8" s="30">
        <v>38000</v>
      </c>
    </row>
    <row r="9" spans="1:12" x14ac:dyDescent="0.35">
      <c r="A9" s="30" t="s">
        <v>127</v>
      </c>
      <c r="B9" s="30" t="s">
        <v>28</v>
      </c>
      <c r="C9" s="30">
        <v>32000</v>
      </c>
    </row>
    <row r="10" spans="1:12" x14ac:dyDescent="0.35">
      <c r="A10" s="30" t="s">
        <v>128</v>
      </c>
      <c r="B10" s="30" t="s">
        <v>29</v>
      </c>
      <c r="C10" s="30">
        <v>48000</v>
      </c>
    </row>
    <row r="11" spans="1:12" x14ac:dyDescent="0.35">
      <c r="A11" s="30" t="s">
        <v>129</v>
      </c>
      <c r="B11" s="30" t="s">
        <v>30</v>
      </c>
      <c r="C11" s="30">
        <v>46000</v>
      </c>
    </row>
    <row r="12" spans="1:12" x14ac:dyDescent="0.35">
      <c r="A12" s="30" t="s">
        <v>130</v>
      </c>
      <c r="B12" s="30" t="s">
        <v>28</v>
      </c>
      <c r="C12" s="30">
        <v>35000</v>
      </c>
    </row>
    <row r="13" spans="1:12" x14ac:dyDescent="0.35">
      <c r="A13" s="30" t="s">
        <v>131</v>
      </c>
      <c r="B13" s="30" t="s">
        <v>29</v>
      </c>
      <c r="C13" s="30">
        <v>52000</v>
      </c>
    </row>
    <row r="14" spans="1:12" x14ac:dyDescent="0.35">
      <c r="A14" s="30" t="s">
        <v>132</v>
      </c>
      <c r="B14" s="30" t="s">
        <v>30</v>
      </c>
      <c r="C14" s="30">
        <v>40000</v>
      </c>
    </row>
    <row r="15" spans="1:12" x14ac:dyDescent="0.35">
      <c r="A15" s="30" t="s">
        <v>133</v>
      </c>
      <c r="B15" s="30" t="s">
        <v>28</v>
      </c>
      <c r="C15" s="30">
        <v>29000</v>
      </c>
    </row>
    <row r="16" spans="1:12" x14ac:dyDescent="0.35">
      <c r="A16" s="30" t="s">
        <v>65</v>
      </c>
      <c r="B16" s="30" t="s">
        <v>29</v>
      </c>
      <c r="C16" s="30">
        <v>47000</v>
      </c>
    </row>
    <row r="17" spans="1:3" x14ac:dyDescent="0.35">
      <c r="A17" s="30" t="s">
        <v>64</v>
      </c>
      <c r="B17" s="30" t="s">
        <v>30</v>
      </c>
      <c r="C17" s="30">
        <v>55000</v>
      </c>
    </row>
    <row r="18" spans="1:3" x14ac:dyDescent="0.35">
      <c r="A18" s="30" t="s">
        <v>134</v>
      </c>
      <c r="B18" s="30" t="s">
        <v>28</v>
      </c>
      <c r="C18" s="30">
        <v>33000</v>
      </c>
    </row>
    <row r="19" spans="1:3" x14ac:dyDescent="0.35">
      <c r="A19" s="30" t="s">
        <v>135</v>
      </c>
      <c r="B19" s="30" t="s">
        <v>29</v>
      </c>
      <c r="C19" s="30">
        <v>49000</v>
      </c>
    </row>
    <row r="20" spans="1:3" x14ac:dyDescent="0.35">
      <c r="A20" s="30" t="s">
        <v>136</v>
      </c>
      <c r="B20" s="30" t="s">
        <v>30</v>
      </c>
      <c r="C20" s="30">
        <v>37000</v>
      </c>
    </row>
    <row r="21" spans="1:3" x14ac:dyDescent="0.35">
      <c r="A21" s="30" t="s">
        <v>62</v>
      </c>
      <c r="B21" s="30" t="s">
        <v>28</v>
      </c>
      <c r="C21" s="30">
        <v>36000</v>
      </c>
    </row>
    <row r="22" spans="1:3" x14ac:dyDescent="0.35">
      <c r="A22" s="30" t="s">
        <v>63</v>
      </c>
      <c r="B22" s="30" t="s">
        <v>29</v>
      </c>
      <c r="C22" s="30">
        <v>51000</v>
      </c>
    </row>
    <row r="23" spans="1:3" x14ac:dyDescent="0.35">
      <c r="A23" s="30" t="s">
        <v>137</v>
      </c>
      <c r="B23" s="30" t="s">
        <v>30</v>
      </c>
      <c r="C23" s="30">
        <v>4300</v>
      </c>
    </row>
  </sheetData>
  <mergeCells count="2">
    <mergeCell ref="A1:I1"/>
    <mergeCell ref="F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sheet</dc:title>
  <dc:creator>ASDC11</dc:creator>
  <cp:lastModifiedBy>HP</cp:lastModifiedBy>
  <dcterms:created xsi:type="dcterms:W3CDTF">2026-01-27T10:30:20Z</dcterms:created>
  <dcterms:modified xsi:type="dcterms:W3CDTF">2026-01-29T05:30:15Z</dcterms:modified>
</cp:coreProperties>
</file>