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1\Desktop\vansh\Exel\"/>
    </mc:Choice>
  </mc:AlternateContent>
  <xr:revisionPtr revIDLastSave="0" documentId="13_ncr:1_{0AFA7F1F-D6F6-4641-B373-0A264DC81F4D}" xr6:coauthVersionLast="47" xr6:coauthVersionMax="47" xr10:uidLastSave="{00000000-0000-0000-0000-000000000000}"/>
  <bookViews>
    <workbookView xWindow="-120" yWindow="-120" windowWidth="29040" windowHeight="15720" activeTab="8" xr2:uid="{D604C0F3-70FD-4EE8-8C56-19CAD7AFDC7B}"/>
  </bookViews>
  <sheets>
    <sheet name="Sheet1" sheetId="1" r:id="rId1"/>
    <sheet name="Sheet2" sheetId="2" r:id="rId2"/>
    <sheet name="Sheet3" sheetId="3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4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2" i="4"/>
  <c r="C3" i="9"/>
  <c r="C4" i="9"/>
  <c r="C5" i="9"/>
  <c r="C2" i="9"/>
  <c r="D3" i="8"/>
  <c r="D4" i="8"/>
  <c r="D5" i="8"/>
  <c r="D2" i="8"/>
  <c r="D3" i="7"/>
  <c r="D4" i="7"/>
  <c r="D5" i="7"/>
  <c r="D2" i="7"/>
  <c r="D3" i="6"/>
  <c r="D4" i="6"/>
  <c r="D5" i="6"/>
  <c r="D2" i="6"/>
  <c r="D3" i="5"/>
  <c r="D4" i="5"/>
  <c r="D5" i="5"/>
  <c r="D2" i="5"/>
  <c r="C3" i="3"/>
  <c r="C4" i="3"/>
  <c r="C5" i="3"/>
  <c r="C6" i="3"/>
  <c r="C2" i="3"/>
  <c r="C3" i="2" a="1"/>
  <c r="C3" i="2" s="1"/>
  <c r="C4" i="2" a="1"/>
  <c r="C4" i="2"/>
  <c r="C5" i="2" a="1"/>
  <c r="C5" i="2"/>
  <c r="C2" i="2" a="1"/>
  <c r="C2" i="2" s="1"/>
  <c r="D2" i="1"/>
  <c r="D3" i="1"/>
  <c r="D4" i="1"/>
  <c r="D5" i="1"/>
  <c r="D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<sst xmlns="http://schemas.openxmlformats.org/spreadsheetml/2006/main" count="83" uniqueCount="48">
  <si>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</si>
  <si>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</si>
  <si>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</si>
  <si>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</si>
  <si>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</si>
  <si>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</si>
  <si>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</si>
  <si>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</si>
  <si>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</si>
  <si>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Task 1: Pass / Fail using IF
Dataset
Roll No	Student Name	Marks	Result
1	Aman	78	
2	Bharti	35	
3	Rohan	62	
4	Deepa	40	
5	Farhan	28	
Task
If Marks ≥ 40 → Pass
Else → Fail</t>
  </si>
  <si>
    <t>Employee Name</t>
  </si>
  <si>
    <t>Salary</t>
  </si>
  <si>
    <t>Bonus Status</t>
  </si>
  <si>
    <t>Rohit</t>
  </si>
  <si>
    <t>Simran</t>
  </si>
  <si>
    <t>Vijay</t>
  </si>
  <si>
    <t>Nisha</t>
  </si>
  <si>
    <t>Task 2: Salary Bonus Check (IF)
Dataset
Employee Name	Salary	Bonus Status
Rohit	28000	
Simran	45000	
Vijay	52000	
Nisha	30000	
Task
Salary ≥ 40000 → Bonus
Else → No Bonus</t>
  </si>
  <si>
    <t>Grade</t>
  </si>
  <si>
    <t>Task 3: Grade Calculation (Nested IF)
Dataset
Student Name	Marks	Grade
Aman	82	
Bharti	67	
Rohan	45	
Deepa	33	
Farhan	90	
Task
≥ 75 → A
≥ 60 → B
≥ 40 → C
&lt; 40 → Fail</t>
  </si>
  <si>
    <t>Name</t>
  </si>
  <si>
    <t>Age</t>
  </si>
  <si>
    <t>Experience (Years)</t>
  </si>
  <si>
    <t>Eligible</t>
  </si>
  <si>
    <t>Task 4: Job Eligibility (AND)
Dataset
Name	Age	Experience (Years)	Eligible
Rohit	25	2	
Simran	20	1	
Vijay	30	5	
Nisha	22	0	
Task
Age ≥ 21 AND Experience ≥ 1 → Eligible</t>
  </si>
  <si>
    <t>Attendance %</t>
  </si>
  <si>
    <t>Assignment Submitted</t>
  </si>
  <si>
    <t>Yes</t>
  </si>
  <si>
    <t>No</t>
  </si>
  <si>
    <t>Dataset
Student Name	Attendance %	Assignment Submitted	Eligible
Aman	85	Yes	
Bharti	72	Yes	
Rohan	90	No	
Deepa	80	Yes	
Task
Attendance ≥ 75 AND Assignment = Yes</t>
  </si>
  <si>
    <t>Customer Name</t>
  </si>
  <si>
    <t>Purchase Amount</t>
  </si>
  <si>
    <t>Membership</t>
  </si>
  <si>
    <t>Discount</t>
  </si>
  <si>
    <t>Aakash</t>
  </si>
  <si>
    <t>Bhavna</t>
  </si>
  <si>
    <t>Divya</t>
  </si>
  <si>
    <t>Task 6: Discount Logic (OR)
Dataset
Customer Name	Purchase Amount	Membership	Discount
Aakash	9000	No	
Bhavna	12000	No	
Rohan	4000	Yes	
Divya	3000	No	
Task
Purchase ≥ 10000 OR Membership = Yes</t>
  </si>
  <si>
    <t>Applicant</t>
  </si>
  <si>
    <t>CIBIL Score</t>
  </si>
  <si>
    <t>Loan Status</t>
  </si>
  <si>
    <t>Task 7: Loan Approval (OR)
Dataset
Applicant	Salary	CIBIL Score	Loan Status
Rohit	35000	720	
Simran	25000	680	
Vijay	50000	650	
Nisha	20000	600	
Task
Salary ≥ 40000 OR CIBIL ≥ 700</t>
  </si>
  <si>
    <t>Present</t>
  </si>
  <si>
    <t>Status</t>
  </si>
  <si>
    <t>Task 8: Attendance Status (NOT)
Dataset
Name	Present	Status
Aman	TRUE	
Bharti	FALSE	
Rohan	TRUE	
Deepa	FALSE	
Task
If NOT Present → Absent
Else → Present</t>
  </si>
  <si>
    <t>Number 1</t>
  </si>
  <si>
    <t>Number 2</t>
  </si>
  <si>
    <t>Task 9: Safe Division (IFERROR)
Dataset
Number 1	Number 2	Result
10	2	
15	0	
20	5	
8	0	
Task
Divide Number 1 by Number 2
If error → show "Invalid"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</si>
</sst>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222F-9310-4921-A88F-AFD058710D7E}">
  <dimension ref="A1:O12"/>
  <sheetViews>
    <sheetView zoomScale="130" zoomScaleNormal="130" workbookViewId="0">
      <selection activeCell="J18" sqref="J18"/>
    </sheetView>
  </sheetViews>
  <sheetFormatPr defaultRowHeight="15" x14ac:dyDescent="0.25"/>
  <sheetData>
    <row r="1" spans="1:15" ht="52.5" thickBot="1" x14ac:dyDescent="0.3">
      <c r="A1" s="1" t="s">
        <v>0</v>
      </c>
      <c r="B1" s="1" t="s">
        <v>1</v>
      </c>
      <c r="C1" s="6" t="s">
        <v>2</v>
      </c>
      <c r="D1" s="1" t="s">
        <v>3</v>
      </c>
    </row>
    <row r="2" spans="1:15" ht="18" thickBot="1" x14ac:dyDescent="0.3">
      <c r="A2" s="2">
        <v>1</v>
      </c>
      <c r="B2" s="2" t="s">
        <v>4</v>
      </c>
      <c r="C2" s="2">
        <v>78</v>
      </c>
      <c r="D2" s="2" t="str">
        <f>IF(C2&gt;40,"PASS","Fail")</f>
        <v>PASS</v>
      </c>
      <c r="I2" s="7" t="s">
        <v>9</v>
      </c>
      <c r="J2" s="8"/>
      <c r="K2" s="8"/>
      <c r="L2" s="8"/>
      <c r="M2" s="8"/>
      <c r="N2" s="8"/>
      <c r="O2" s="8"/>
    </row>
    <row r="3" spans="1:15" ht="18" thickBot="1" x14ac:dyDescent="0.3">
      <c r="A3" s="3">
        <v>2</v>
      </c>
      <c r="B3" s="3" t="s">
        <v>5</v>
      </c>
      <c r="C3" s="3">
        <v>35</v>
      </c>
      <c r="D3" s="2" t="str">
        <f t="shared" ref="D3:D6" si="0">IF(C3&gt;40,"PASS","Fail")</f>
        <v>Fail</v>
      </c>
      <c r="I3" s="8"/>
      <c r="J3" s="8"/>
      <c r="K3" s="8"/>
      <c r="L3" s="8"/>
      <c r="M3" s="8"/>
      <c r="N3" s="8"/>
      <c r="O3" s="8"/>
    </row>
    <row r="4" spans="1:15" ht="18" thickBot="1" x14ac:dyDescent="0.3">
      <c r="A4" s="2">
        <v>3</v>
      </c>
      <c r="B4" s="2" t="s">
        <v>6</v>
      </c>
      <c r="C4" s="2">
        <v>62</v>
      </c>
      <c r="D4" s="2" t="str">
        <f t="shared" si="0"/>
        <v>PASS</v>
      </c>
      <c r="I4" s="8"/>
      <c r="J4" s="8"/>
      <c r="K4" s="8"/>
      <c r="L4" s="8"/>
      <c r="M4" s="8"/>
      <c r="N4" s="8"/>
      <c r="O4" s="8"/>
    </row>
    <row r="5" spans="1:15" ht="18" thickBot="1" x14ac:dyDescent="0.3">
      <c r="A5" s="3">
        <v>4</v>
      </c>
      <c r="B5" s="3" t="s">
        <v>7</v>
      </c>
      <c r="C5" s="3">
        <v>40</v>
      </c>
      <c r="D5" s="2" t="str">
        <f t="shared" si="0"/>
        <v>Fail</v>
      </c>
      <c r="I5" s="8"/>
      <c r="J5" s="8"/>
      <c r="K5" s="8"/>
      <c r="L5" s="8"/>
      <c r="M5" s="8"/>
      <c r="N5" s="8"/>
      <c r="O5" s="8"/>
    </row>
    <row r="6" spans="1:15" ht="35.25" thickBot="1" x14ac:dyDescent="0.3">
      <c r="A6" s="2">
        <v>5</v>
      </c>
      <c r="B6" s="2" t="s">
        <v>8</v>
      </c>
      <c r="C6" s="2">
        <v>28</v>
      </c>
      <c r="D6" s="2" t="str">
        <f t="shared" si="0"/>
        <v>Fail</v>
      </c>
      <c r="I6" s="8"/>
      <c r="J6" s="8"/>
      <c r="K6" s="8"/>
      <c r="L6" s="8"/>
      <c r="M6" s="8"/>
      <c r="N6" s="8"/>
      <c r="O6" s="8"/>
    </row>
    <row r="7" spans="1:15" x14ac:dyDescent="0.25">
      <c r="I7" s="8"/>
      <c r="J7" s="8"/>
      <c r="K7" s="8"/>
      <c r="L7" s="8"/>
      <c r="M7" s="8"/>
      <c r="N7" s="8"/>
      <c r="O7" s="8"/>
    </row>
    <row r="8" spans="1:15" x14ac:dyDescent="0.25">
      <c r="I8" s="8"/>
      <c r="J8" s="8"/>
      <c r="K8" s="8"/>
      <c r="L8" s="8"/>
      <c r="M8" s="8"/>
      <c r="N8" s="8"/>
      <c r="O8" s="8"/>
    </row>
    <row r="9" spans="1:15" x14ac:dyDescent="0.25">
      <c r="I9" s="8"/>
      <c r="J9" s="8"/>
      <c r="K9" s="8"/>
      <c r="L9" s="8"/>
      <c r="M9" s="8"/>
      <c r="N9" s="8"/>
      <c r="O9" s="8"/>
    </row>
    <row r="10" spans="1:15" x14ac:dyDescent="0.25">
      <c r="I10" s="8"/>
      <c r="J10" s="8"/>
      <c r="K10" s="8"/>
      <c r="L10" s="8"/>
      <c r="M10" s="8"/>
      <c r="N10" s="8"/>
      <c r="O10" s="8"/>
    </row>
    <row r="11" spans="1:15" x14ac:dyDescent="0.25">
      <c r="I11" s="8"/>
      <c r="J11" s="8"/>
      <c r="K11" s="8"/>
      <c r="L11" s="8"/>
      <c r="M11" s="8"/>
      <c r="N11" s="8"/>
      <c r="O11" s="8"/>
    </row>
    <row r="12" spans="1:15" x14ac:dyDescent="0.25">
      <c r="I12" s="8"/>
      <c r="J12" s="8"/>
      <c r="K12" s="8"/>
      <c r="L12" s="8"/>
      <c r="M12" s="8"/>
      <c r="N12" s="8"/>
      <c r="O12" s="8"/>
    </row>
  </sheetData>
  <mergeCells count="1">
    <mergeCell ref="I2:O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35669-BBEA-44F5-A4C2-BD5EB4160454}">
  <dimension ref="A1:P17"/>
  <sheetViews>
    <sheetView zoomScale="115" zoomScaleNormal="115" workbookViewId="0">
      <selection activeCell="I3" sqref="I3:P17"/>
    </sheetView>
  </sheetViews>
  <sheetFormatPr defaultRowHeight="15" x14ac:dyDescent="0.25"/>
  <sheetData>
    <row r="1" spans="1:16" ht="52.5" thickBot="1" x14ac:dyDescent="0.3">
      <c r="A1" s="1" t="s">
        <v>10</v>
      </c>
      <c r="B1" s="1" t="s">
        <v>11</v>
      </c>
      <c r="C1" s="1" t="s">
        <v>12</v>
      </c>
    </row>
    <row r="2" spans="1:16" ht="18" thickBot="1" x14ac:dyDescent="0.3">
      <c r="A2" s="2" t="s">
        <v>13</v>
      </c>
      <c r="B2" s="2">
        <v>28000</v>
      </c>
      <c r="C2" s="2" t="str" cm="1">
        <f t="array" ref="C2">IF(B2&gt;20000,"Bonus",No Bonus)</f>
        <v>Bonus</v>
      </c>
    </row>
    <row r="3" spans="1:16" ht="35.25" thickBot="1" x14ac:dyDescent="0.3">
      <c r="A3" s="3" t="s">
        <v>14</v>
      </c>
      <c r="B3" s="3">
        <v>45000</v>
      </c>
      <c r="C3" s="2" t="str" cm="1">
        <f t="array" ref="C3">IF(B3&gt;20000,"Bonus",No Bonus)</f>
        <v>Bonus</v>
      </c>
      <c r="I3" s="7" t="s">
        <v>17</v>
      </c>
      <c r="J3" s="8"/>
      <c r="K3" s="8"/>
      <c r="L3" s="8"/>
      <c r="M3" s="8"/>
      <c r="N3" s="8"/>
      <c r="O3" s="8"/>
      <c r="P3" s="8"/>
    </row>
    <row r="4" spans="1:16" ht="18" thickBot="1" x14ac:dyDescent="0.3">
      <c r="A4" s="2" t="s">
        <v>15</v>
      </c>
      <c r="B4" s="2">
        <v>52000</v>
      </c>
      <c r="C4" s="2" t="str" cm="1">
        <f t="array" ref="C4">IF(B4&gt;20000,"Bonus",No Bonus)</f>
        <v>Bonus</v>
      </c>
      <c r="I4" s="8"/>
      <c r="J4" s="8"/>
      <c r="K4" s="8"/>
      <c r="L4" s="8"/>
      <c r="M4" s="8"/>
      <c r="N4" s="8"/>
      <c r="O4" s="8"/>
      <c r="P4" s="8"/>
    </row>
    <row r="5" spans="1:16" ht="18" thickBot="1" x14ac:dyDescent="0.3">
      <c r="A5" s="3" t="s">
        <v>16</v>
      </c>
      <c r="B5" s="3">
        <v>30000</v>
      </c>
      <c r="C5" s="2" t="str" cm="1">
        <f t="array" ref="C5">IF(B5&gt;20000,"Bonus",No Bonus)</f>
        <v>Bonus</v>
      </c>
      <c r="I5" s="8"/>
      <c r="J5" s="8"/>
      <c r="K5" s="8"/>
      <c r="L5" s="8"/>
      <c r="M5" s="8"/>
      <c r="N5" s="8"/>
      <c r="O5" s="8"/>
      <c r="P5" s="8"/>
    </row>
    <row r="6" spans="1:16" x14ac:dyDescent="0.25">
      <c r="I6" s="8"/>
      <c r="J6" s="8"/>
      <c r="K6" s="8"/>
      <c r="L6" s="8"/>
      <c r="M6" s="8"/>
      <c r="N6" s="8"/>
      <c r="O6" s="8"/>
      <c r="P6" s="8"/>
    </row>
    <row r="7" spans="1:16" x14ac:dyDescent="0.25">
      <c r="I7" s="8"/>
      <c r="J7" s="8"/>
      <c r="K7" s="8"/>
      <c r="L7" s="8"/>
      <c r="M7" s="8"/>
      <c r="N7" s="8"/>
      <c r="O7" s="8"/>
      <c r="P7" s="8"/>
    </row>
    <row r="8" spans="1:16" x14ac:dyDescent="0.25">
      <c r="I8" s="8"/>
      <c r="J8" s="8"/>
      <c r="K8" s="8"/>
      <c r="L8" s="8"/>
      <c r="M8" s="8"/>
      <c r="N8" s="8"/>
      <c r="O8" s="8"/>
      <c r="P8" s="8"/>
    </row>
    <row r="9" spans="1:16" x14ac:dyDescent="0.25">
      <c r="I9" s="8"/>
      <c r="J9" s="8"/>
      <c r="K9" s="8"/>
      <c r="L9" s="8"/>
      <c r="M9" s="8"/>
      <c r="N9" s="8"/>
      <c r="O9" s="8"/>
      <c r="P9" s="8"/>
    </row>
    <row r="10" spans="1:16" x14ac:dyDescent="0.25">
      <c r="I10" s="8"/>
      <c r="J10" s="8"/>
      <c r="K10" s="8"/>
      <c r="L10" s="8"/>
      <c r="M10" s="8"/>
      <c r="N10" s="8"/>
      <c r="O10" s="8"/>
      <c r="P10" s="8"/>
    </row>
    <row r="11" spans="1:16" x14ac:dyDescent="0.25">
      <c r="I11" s="8"/>
      <c r="J11" s="8"/>
      <c r="K11" s="8"/>
      <c r="L11" s="8"/>
      <c r="M11" s="8"/>
      <c r="N11" s="8"/>
      <c r="O11" s="8"/>
      <c r="P11" s="8"/>
    </row>
    <row r="12" spans="1:16" x14ac:dyDescent="0.25">
      <c r="I12" s="8"/>
      <c r="J12" s="8"/>
      <c r="K12" s="8"/>
      <c r="L12" s="8"/>
      <c r="M12" s="8"/>
      <c r="N12" s="8"/>
      <c r="O12" s="8"/>
      <c r="P12" s="8"/>
    </row>
    <row r="13" spans="1:16" x14ac:dyDescent="0.25">
      <c r="I13" s="8"/>
      <c r="J13" s="8"/>
      <c r="K13" s="8"/>
      <c r="L13" s="8"/>
      <c r="M13" s="8"/>
      <c r="N13" s="8"/>
      <c r="O13" s="8"/>
      <c r="P13" s="8"/>
    </row>
    <row r="14" spans="1:16" x14ac:dyDescent="0.25">
      <c r="I14" s="8"/>
      <c r="J14" s="8"/>
      <c r="K14" s="8"/>
      <c r="L14" s="8"/>
      <c r="M14" s="8"/>
      <c r="N14" s="8"/>
      <c r="O14" s="8"/>
      <c r="P14" s="8"/>
    </row>
    <row r="15" spans="1:16" x14ac:dyDescent="0.25">
      <c r="I15" s="8"/>
      <c r="J15" s="8"/>
      <c r="K15" s="8"/>
      <c r="L15" s="8"/>
      <c r="M15" s="8"/>
      <c r="N15" s="8"/>
      <c r="O15" s="8"/>
      <c r="P15" s="8"/>
    </row>
    <row r="16" spans="1:16" x14ac:dyDescent="0.25">
      <c r="I16" s="8"/>
      <c r="J16" s="8"/>
      <c r="K16" s="8"/>
      <c r="L16" s="8"/>
      <c r="M16" s="8"/>
      <c r="N16" s="8"/>
      <c r="O16" s="8"/>
      <c r="P16" s="8"/>
    </row>
    <row r="17" spans="9:16" x14ac:dyDescent="0.25">
      <c r="I17" s="8"/>
      <c r="J17" s="8"/>
      <c r="K17" s="8"/>
      <c r="L17" s="8"/>
      <c r="M17" s="8"/>
      <c r="N17" s="8"/>
      <c r="O17" s="8"/>
      <c r="P17" s="8"/>
    </row>
  </sheetData>
  <mergeCells count="1">
    <mergeCell ref="I3:P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DBBA5-DC27-44E5-8053-0AFECBF53F2B}">
  <dimension ref="A1:S24"/>
  <sheetViews>
    <sheetView workbookViewId="0">
      <selection activeCell="H2" sqref="H2:S24"/>
    </sheetView>
  </sheetViews>
  <sheetFormatPr defaultRowHeight="15" x14ac:dyDescent="0.25"/>
  <sheetData>
    <row r="1" spans="1:19" ht="52.5" thickBot="1" x14ac:dyDescent="0.3">
      <c r="A1" s="1" t="s">
        <v>1</v>
      </c>
      <c r="B1" s="1" t="s">
        <v>2</v>
      </c>
      <c r="C1" s="1" t="s">
        <v>18</v>
      </c>
    </row>
    <row r="2" spans="1:19" ht="18" thickBot="1" x14ac:dyDescent="0.3">
      <c r="A2" s="2" t="s">
        <v>4</v>
      </c>
      <c r="B2" s="2">
        <v>82</v>
      </c>
      <c r="C2" s="2" t="str">
        <f>IF(B2&gt;=75,"A",IF(B2&gt;=60,"B",IF(B2&gt;=40,"C","Fail")))</f>
        <v>A</v>
      </c>
      <c r="H2" s="5" t="s">
        <v>19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18" thickBot="1" x14ac:dyDescent="0.3">
      <c r="A3" s="3" t="s">
        <v>5</v>
      </c>
      <c r="B3" s="3">
        <v>67</v>
      </c>
      <c r="C3" s="2" t="str">
        <f t="shared" ref="C3:C6" si="0">IF(B3&gt;=75,"A",IF(B3&gt;=60,"B",IF(B3&gt;=40,"C","Fail")))</f>
        <v>B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18" thickBot="1" x14ac:dyDescent="0.3">
      <c r="A4" s="2" t="s">
        <v>6</v>
      </c>
      <c r="B4" s="2">
        <v>45</v>
      </c>
      <c r="C4" s="2" t="str">
        <f t="shared" si="0"/>
        <v>C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18" thickBot="1" x14ac:dyDescent="0.3">
      <c r="A5" s="3" t="s">
        <v>7</v>
      </c>
      <c r="B5" s="3">
        <v>33</v>
      </c>
      <c r="C5" s="2" t="str">
        <f t="shared" si="0"/>
        <v>Fail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ht="35.25" thickBot="1" x14ac:dyDescent="0.3">
      <c r="A6" s="2" t="s">
        <v>8</v>
      </c>
      <c r="B6" s="2">
        <v>90</v>
      </c>
      <c r="C6" s="2" t="str">
        <f t="shared" si="0"/>
        <v>A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x14ac:dyDescent="0.25"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x14ac:dyDescent="0.25"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x14ac:dyDescent="0.25"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x14ac:dyDescent="0.25"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x14ac:dyDescent="0.25"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x14ac:dyDescent="0.25"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25"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x14ac:dyDescent="0.25"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x14ac:dyDescent="0.25"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25"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8:19" x14ac:dyDescent="0.25"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8:19" x14ac:dyDescent="0.25"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8:19" x14ac:dyDescent="0.25"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8:19" x14ac:dyDescent="0.25"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8:19" x14ac:dyDescent="0.25"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8:19" x14ac:dyDescent="0.25"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8:19" x14ac:dyDescent="0.25"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8:19" x14ac:dyDescent="0.25"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</sheetData>
  <mergeCells count="1">
    <mergeCell ref="H2:S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039C-AEDA-45C9-AFAB-5050023C4219}">
  <dimension ref="A1:Q23"/>
  <sheetViews>
    <sheetView workbookViewId="0">
      <selection activeCell="H2" sqref="H2:Q23"/>
    </sheetView>
  </sheetViews>
  <sheetFormatPr defaultRowHeight="15" x14ac:dyDescent="0.25"/>
  <cols>
    <col min="4" max="4" width="15.85546875" customWidth="1"/>
  </cols>
  <sheetData>
    <row r="1" spans="1:17" ht="52.5" thickBot="1" x14ac:dyDescent="0.3">
      <c r="A1" s="1" t="s">
        <v>20</v>
      </c>
      <c r="B1" s="1" t="s">
        <v>21</v>
      </c>
      <c r="C1" s="1" t="s">
        <v>22</v>
      </c>
      <c r="D1" s="1" t="s">
        <v>23</v>
      </c>
    </row>
    <row r="2" spans="1:17" ht="18" thickBot="1" x14ac:dyDescent="0.3">
      <c r="A2" s="2" t="s">
        <v>13</v>
      </c>
      <c r="B2" s="2">
        <v>25</v>
      </c>
      <c r="C2" s="2">
        <v>2</v>
      </c>
      <c r="D2" s="2" t="str">
        <f>IF(AND(B2&gt;21,C2&gt;=1),"Elligible", "Not Elligible")</f>
        <v>Elligible</v>
      </c>
      <c r="H2" s="7" t="s">
        <v>24</v>
      </c>
      <c r="I2" s="8"/>
      <c r="J2" s="8"/>
      <c r="K2" s="8"/>
      <c r="L2" s="8"/>
      <c r="M2" s="8"/>
      <c r="N2" s="8"/>
      <c r="O2" s="8"/>
      <c r="P2" s="8"/>
      <c r="Q2" s="8"/>
    </row>
    <row r="3" spans="1:17" ht="35.25" thickBot="1" x14ac:dyDescent="0.3">
      <c r="A3" s="3" t="s">
        <v>14</v>
      </c>
      <c r="B3" s="3">
        <v>20</v>
      </c>
      <c r="C3" s="3">
        <v>1</v>
      </c>
      <c r="D3" s="2" t="str">
        <f t="shared" ref="D3:D5" si="0">IF(AND(B3&gt;21,C3&gt;=1),"Elligible", "Not Elligible")</f>
        <v>Not Elligible</v>
      </c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ht="18" thickBot="1" x14ac:dyDescent="0.3">
      <c r="A4" s="2" t="s">
        <v>15</v>
      </c>
      <c r="B4" s="2">
        <v>30</v>
      </c>
      <c r="C4" s="2">
        <v>5</v>
      </c>
      <c r="D4" s="2" t="str">
        <f t="shared" si="0"/>
        <v>Elligible</v>
      </c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ht="18" thickBot="1" x14ac:dyDescent="0.3">
      <c r="A5" s="3" t="s">
        <v>16</v>
      </c>
      <c r="B5" s="3">
        <v>22</v>
      </c>
      <c r="C5" s="3">
        <v>0</v>
      </c>
      <c r="D5" s="2" t="str">
        <f t="shared" si="0"/>
        <v>Not Elligible</v>
      </c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5"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x14ac:dyDescent="0.25"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x14ac:dyDescent="0.25"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x14ac:dyDescent="0.25"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 x14ac:dyDescent="0.25"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x14ac:dyDescent="0.25"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 x14ac:dyDescent="0.25"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5"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x14ac:dyDescent="0.25"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25"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x14ac:dyDescent="0.25"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8:17" x14ac:dyDescent="0.25"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8:17" x14ac:dyDescent="0.25"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8:17" x14ac:dyDescent="0.25"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8:17" x14ac:dyDescent="0.25"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8:17" x14ac:dyDescent="0.25"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8:17" x14ac:dyDescent="0.25"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8:17" x14ac:dyDescent="0.25">
      <c r="H23" s="8"/>
      <c r="I23" s="8"/>
      <c r="J23" s="8"/>
      <c r="K23" s="8"/>
      <c r="L23" s="8"/>
      <c r="M23" s="8"/>
      <c r="N23" s="8"/>
      <c r="O23" s="8"/>
      <c r="P23" s="8"/>
      <c r="Q23" s="8"/>
    </row>
  </sheetData>
  <mergeCells count="1">
    <mergeCell ref="H2:Q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F193-2981-4BC4-8C13-E2AA9CDC46BE}">
  <dimension ref="A1:S28"/>
  <sheetViews>
    <sheetView workbookViewId="0">
      <selection activeCell="I5" sqref="I5:S28"/>
    </sheetView>
  </sheetViews>
  <sheetFormatPr defaultRowHeight="15" x14ac:dyDescent="0.25"/>
  <cols>
    <col min="4" max="4" width="15.7109375" customWidth="1"/>
  </cols>
  <sheetData>
    <row r="1" spans="1:19" ht="69.75" thickBot="1" x14ac:dyDescent="0.3">
      <c r="A1" s="1" t="s">
        <v>1</v>
      </c>
      <c r="B1" s="1" t="s">
        <v>25</v>
      </c>
      <c r="C1" s="1" t="s">
        <v>26</v>
      </c>
      <c r="D1" s="1" t="s">
        <v>23</v>
      </c>
    </row>
    <row r="2" spans="1:19" ht="18" thickBot="1" x14ac:dyDescent="0.3">
      <c r="A2" s="2" t="s">
        <v>4</v>
      </c>
      <c r="B2" s="2">
        <v>85</v>
      </c>
      <c r="C2" s="2" t="s">
        <v>27</v>
      </c>
      <c r="D2" s="2" t="str">
        <f>IF(AND(B2&gt;=75,C2="Yes"),"Elligible","Not Elligible")</f>
        <v>Elligible</v>
      </c>
    </row>
    <row r="3" spans="1:19" ht="18" thickBot="1" x14ac:dyDescent="0.3">
      <c r="A3" s="3" t="s">
        <v>5</v>
      </c>
      <c r="B3" s="3">
        <v>72</v>
      </c>
      <c r="C3" s="3" t="s">
        <v>27</v>
      </c>
      <c r="D3" s="2" t="str">
        <f t="shared" ref="D3:D5" si="0">IF(AND(B3&gt;=75,C3="Yes"),"Elligible","Not Elligible")</f>
        <v>Not Elligible</v>
      </c>
    </row>
    <row r="4" spans="1:19" ht="18" thickBot="1" x14ac:dyDescent="0.3">
      <c r="A4" s="2" t="s">
        <v>6</v>
      </c>
      <c r="B4" s="2">
        <v>90</v>
      </c>
      <c r="C4" s="2" t="s">
        <v>28</v>
      </c>
      <c r="D4" s="2" t="str">
        <f t="shared" si="0"/>
        <v>Not Elligible</v>
      </c>
    </row>
    <row r="5" spans="1:19" ht="18" thickBot="1" x14ac:dyDescent="0.3">
      <c r="A5" s="3" t="s">
        <v>7</v>
      </c>
      <c r="B5" s="3">
        <v>80</v>
      </c>
      <c r="C5" s="3" t="s">
        <v>27</v>
      </c>
      <c r="D5" s="2" t="str">
        <f t="shared" si="0"/>
        <v>Elligible</v>
      </c>
      <c r="I5" s="7" t="s">
        <v>29</v>
      </c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x14ac:dyDescent="0.25"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x14ac:dyDescent="0.25"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x14ac:dyDescent="0.25"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x14ac:dyDescent="0.25"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x14ac:dyDescent="0.25"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x14ac:dyDescent="0.25"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x14ac:dyDescent="0.25"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x14ac:dyDescent="0.25"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x14ac:dyDescent="0.25"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 x14ac:dyDescent="0.25"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x14ac:dyDescent="0.25"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9:19" x14ac:dyDescent="0.25"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9:19" x14ac:dyDescent="0.25"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9:19" x14ac:dyDescent="0.25"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9:19" x14ac:dyDescent="0.25"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9:19" x14ac:dyDescent="0.25"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9:19" x14ac:dyDescent="0.25"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9:19" x14ac:dyDescent="0.25"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9:19" x14ac:dyDescent="0.25"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9:19" x14ac:dyDescent="0.25"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9:19" x14ac:dyDescent="0.25"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9:19" x14ac:dyDescent="0.25"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9:19" x14ac:dyDescent="0.25"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</sheetData>
  <mergeCells count="1">
    <mergeCell ref="I5:S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7E50-AE8C-447F-803A-F115894FCA6C}">
  <dimension ref="A1:T23"/>
  <sheetViews>
    <sheetView workbookViewId="0">
      <selection activeCell="D2" sqref="D2"/>
    </sheetView>
  </sheetViews>
  <sheetFormatPr defaultRowHeight="15" x14ac:dyDescent="0.25"/>
  <cols>
    <col min="4" max="4" width="17" customWidth="1"/>
  </cols>
  <sheetData>
    <row r="1" spans="1:20" ht="69.75" thickBot="1" x14ac:dyDescent="0.3">
      <c r="A1" s="1" t="s">
        <v>30</v>
      </c>
      <c r="B1" s="1" t="s">
        <v>31</v>
      </c>
      <c r="C1" s="1" t="s">
        <v>32</v>
      </c>
      <c r="D1" s="1" t="s">
        <v>33</v>
      </c>
    </row>
    <row r="2" spans="1:20" ht="35.25" thickBot="1" x14ac:dyDescent="0.3">
      <c r="A2" s="2" t="s">
        <v>34</v>
      </c>
      <c r="B2" s="2">
        <v>9000</v>
      </c>
      <c r="C2" s="2" t="s">
        <v>28</v>
      </c>
      <c r="D2" s="2" t="str">
        <f>IF(OR(B2&gt;=10000,C2="Yes"),"Discount", "No Discount")</f>
        <v>No Discount</v>
      </c>
    </row>
    <row r="3" spans="1:20" ht="35.25" thickBot="1" x14ac:dyDescent="0.3">
      <c r="A3" s="3" t="s">
        <v>35</v>
      </c>
      <c r="B3" s="3">
        <v>12000</v>
      </c>
      <c r="C3" s="3" t="s">
        <v>28</v>
      </c>
      <c r="D3" s="2" t="str">
        <f t="shared" ref="D3:D5" si="0">IF(OR(B3&gt;=10000,C3="Yes"),"Discount", "No Discount")</f>
        <v>Discount</v>
      </c>
      <c r="J3" s="7" t="s">
        <v>37</v>
      </c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ht="18" thickBot="1" x14ac:dyDescent="0.3">
      <c r="A4" s="2" t="s">
        <v>6</v>
      </c>
      <c r="B4" s="2">
        <v>4000</v>
      </c>
      <c r="C4" s="2" t="s">
        <v>27</v>
      </c>
      <c r="D4" s="2" t="str">
        <f t="shared" si="0"/>
        <v>Discount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ht="18" thickBot="1" x14ac:dyDescent="0.3">
      <c r="A5" s="3" t="s">
        <v>36</v>
      </c>
      <c r="B5" s="3">
        <v>3000</v>
      </c>
      <c r="C5" s="3" t="s">
        <v>28</v>
      </c>
      <c r="D5" s="2" t="str">
        <f t="shared" si="0"/>
        <v>No Discount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x14ac:dyDescent="0.25"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x14ac:dyDescent="0.25"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x14ac:dyDescent="0.25"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x14ac:dyDescent="0.25"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x14ac:dyDescent="0.25"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25"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25"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25"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25"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25"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25"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0:20" x14ac:dyDescent="0.25"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0:20" x14ac:dyDescent="0.25"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0:20" x14ac:dyDescent="0.25"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0:20" x14ac:dyDescent="0.25"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0:20" x14ac:dyDescent="0.25"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0:20" x14ac:dyDescent="0.25"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0:20" x14ac:dyDescent="0.25"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</sheetData>
  <mergeCells count="1">
    <mergeCell ref="J3:T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61337-FCD5-4853-ABE0-AE0879BE88F5}">
  <dimension ref="A1:S21"/>
  <sheetViews>
    <sheetView workbookViewId="0">
      <selection activeCell="H3" sqref="H3:S21"/>
    </sheetView>
  </sheetViews>
  <sheetFormatPr defaultRowHeight="15" x14ac:dyDescent="0.25"/>
  <cols>
    <col min="4" max="4" width="17" bestFit="1" customWidth="1"/>
  </cols>
  <sheetData>
    <row r="1" spans="1:19" ht="35.25" thickBot="1" x14ac:dyDescent="0.3">
      <c r="A1" s="1" t="s">
        <v>38</v>
      </c>
      <c r="B1" s="1" t="s">
        <v>11</v>
      </c>
      <c r="C1" s="1" t="s">
        <v>39</v>
      </c>
      <c r="D1" s="1" t="s">
        <v>40</v>
      </c>
    </row>
    <row r="2" spans="1:19" ht="18" thickBot="1" x14ac:dyDescent="0.3">
      <c r="A2" s="2" t="s">
        <v>13</v>
      </c>
      <c r="B2" s="2">
        <v>35000</v>
      </c>
      <c r="C2" s="2">
        <v>720</v>
      </c>
      <c r="D2" s="2" t="str">
        <f>IF(OR(B2&gt;=40000,C2&gt;700),"Approved","NOTApproved")</f>
        <v>Approved</v>
      </c>
    </row>
    <row r="3" spans="1:19" ht="35.25" thickBot="1" x14ac:dyDescent="0.3">
      <c r="A3" s="3" t="s">
        <v>14</v>
      </c>
      <c r="B3" s="3">
        <v>25000</v>
      </c>
      <c r="C3" s="3">
        <v>680</v>
      </c>
      <c r="D3" s="2" t="str">
        <f t="shared" ref="D3:D5" si="0">IF(OR(B3&gt;=40000,C3&gt;700),"Approved","NOTApproved")</f>
        <v>NOTApproved</v>
      </c>
      <c r="H3" s="7" t="s">
        <v>41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ht="18" thickBot="1" x14ac:dyDescent="0.3">
      <c r="A4" s="2" t="s">
        <v>15</v>
      </c>
      <c r="B4" s="2">
        <v>50000</v>
      </c>
      <c r="C4" s="2">
        <v>650</v>
      </c>
      <c r="D4" s="2" t="str">
        <f t="shared" si="0"/>
        <v>Approved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ht="18" thickBot="1" x14ac:dyDescent="0.3">
      <c r="A5" s="3" t="s">
        <v>16</v>
      </c>
      <c r="B5" s="3">
        <v>20000</v>
      </c>
      <c r="C5" s="3">
        <v>600</v>
      </c>
      <c r="D5" s="2" t="str">
        <f t="shared" si="0"/>
        <v>NOTApproved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x14ac:dyDescent="0.25"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x14ac:dyDescent="0.25"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x14ac:dyDescent="0.25"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x14ac:dyDescent="0.25"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x14ac:dyDescent="0.25"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x14ac:dyDescent="0.25"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x14ac:dyDescent="0.25"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x14ac:dyDescent="0.25"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x14ac:dyDescent="0.25"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 x14ac:dyDescent="0.25"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x14ac:dyDescent="0.25"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8:19" x14ac:dyDescent="0.25"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8:19" x14ac:dyDescent="0.25"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8:19" x14ac:dyDescent="0.25"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8:19" x14ac:dyDescent="0.25"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8:19" x14ac:dyDescent="0.25"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</sheetData>
  <mergeCells count="1">
    <mergeCell ref="H3:S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A3956-1C93-4CA8-B3FC-2FA9F74C3D46}">
  <dimension ref="A1:U28"/>
  <sheetViews>
    <sheetView workbookViewId="0">
      <selection activeCell="B13" sqref="B13"/>
    </sheetView>
  </sheetViews>
  <sheetFormatPr defaultRowHeight="15" x14ac:dyDescent="0.25"/>
  <cols>
    <col min="3" max="3" width="10" bestFit="1" customWidth="1"/>
  </cols>
  <sheetData>
    <row r="1" spans="1:21" ht="35.25" thickBot="1" x14ac:dyDescent="0.3">
      <c r="A1" s="1" t="s">
        <v>20</v>
      </c>
      <c r="B1" s="1" t="s">
        <v>42</v>
      </c>
      <c r="C1" s="1" t="s">
        <v>43</v>
      </c>
    </row>
    <row r="2" spans="1:21" ht="18" thickBot="1" x14ac:dyDescent="0.3">
      <c r="A2" s="2" t="s">
        <v>4</v>
      </c>
      <c r="B2" s="2" t="b">
        <v>1</v>
      </c>
      <c r="C2" s="2" t="str">
        <f>IF(NOT(B2),"Absent","Present")</f>
        <v>Present</v>
      </c>
    </row>
    <row r="3" spans="1:21" ht="18" thickBot="1" x14ac:dyDescent="0.3">
      <c r="A3" s="3" t="s">
        <v>5</v>
      </c>
      <c r="B3" s="3" t="b">
        <v>0</v>
      </c>
      <c r="C3" s="2" t="str">
        <f t="shared" ref="C3:C5" si="0">IF(NOT(B3),"Absent","Present")</f>
        <v>Absent</v>
      </c>
    </row>
    <row r="4" spans="1:21" ht="18" thickBot="1" x14ac:dyDescent="0.3">
      <c r="A4" s="2" t="s">
        <v>6</v>
      </c>
      <c r="B4" s="2" t="b">
        <v>1</v>
      </c>
      <c r="C4" s="2" t="str">
        <f t="shared" si="0"/>
        <v>Present</v>
      </c>
    </row>
    <row r="5" spans="1:21" ht="18" thickBot="1" x14ac:dyDescent="0.3">
      <c r="A5" s="3" t="s">
        <v>7</v>
      </c>
      <c r="B5" s="3" t="b">
        <v>0</v>
      </c>
      <c r="C5" s="2" t="str">
        <f t="shared" si="0"/>
        <v>Absent</v>
      </c>
    </row>
    <row r="8" spans="1:21" x14ac:dyDescent="0.25">
      <c r="K8" s="7" t="s">
        <v>44</v>
      </c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x14ac:dyDescent="0.25"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x14ac:dyDescent="0.25"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x14ac:dyDescent="0.25"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x14ac:dyDescent="0.25"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x14ac:dyDescent="0.25"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x14ac:dyDescent="0.25"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 x14ac:dyDescent="0.25"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1:21" x14ac:dyDescent="0.25"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1:21" x14ac:dyDescent="0.25"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1:21" x14ac:dyDescent="0.25"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1:21" x14ac:dyDescent="0.25"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1:21" x14ac:dyDescent="0.25"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1:21" x14ac:dyDescent="0.25"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1:21" x14ac:dyDescent="0.25"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1:21" x14ac:dyDescent="0.25"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1:21" x14ac:dyDescent="0.25"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1:21" x14ac:dyDescent="0.25"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1:21" x14ac:dyDescent="0.25"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1:21" x14ac:dyDescent="0.25"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</sheetData>
  <mergeCells count="1">
    <mergeCell ref="K8:U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F9C20-5FAA-420C-B392-5905B4E87BF7}">
  <dimension ref="A1:R23"/>
  <sheetViews>
    <sheetView tabSelected="1" workbookViewId="0">
      <selection activeCell="I6" sqref="I6:R23"/>
    </sheetView>
  </sheetViews>
  <sheetFormatPr defaultRowHeight="15" x14ac:dyDescent="0.25"/>
  <sheetData>
    <row r="1" spans="1:18" ht="35.25" thickBot="1" x14ac:dyDescent="0.3">
      <c r="A1" s="1" t="s">
        <v>45</v>
      </c>
      <c r="B1" s="1" t="s">
        <v>46</v>
      </c>
      <c r="C1" s="1" t="s">
        <v>3</v>
      </c>
    </row>
    <row r="2" spans="1:18" ht="18" thickBot="1" x14ac:dyDescent="0.3">
      <c r="A2" s="2">
        <v>10</v>
      </c>
      <c r="B2" s="2">
        <v>2</v>
      </c>
      <c r="C2" s="2">
        <f>IFERROR(A2/B2,"Invalid")</f>
        <v>5</v>
      </c>
    </row>
    <row r="3" spans="1:18" ht="18" thickBot="1" x14ac:dyDescent="0.3">
      <c r="A3" s="3">
        <v>15</v>
      </c>
      <c r="B3" s="3">
        <v>0</v>
      </c>
      <c r="C3" s="2" t="str">
        <f t="shared" ref="C3:C6" si="0">IFERROR(A3/B3,"Invalid")</f>
        <v>Invalid</v>
      </c>
    </row>
    <row r="4" spans="1:18" ht="18" thickBot="1" x14ac:dyDescent="0.3">
      <c r="A4" s="2">
        <v>20</v>
      </c>
      <c r="B4" s="2">
        <v>5</v>
      </c>
      <c r="C4" s="2">
        <f t="shared" si="0"/>
        <v>4</v>
      </c>
    </row>
    <row r="5" spans="1:18" ht="18" thickBot="1" x14ac:dyDescent="0.3">
      <c r="A5" s="3">
        <v>8</v>
      </c>
      <c r="B5" s="3">
        <v>0</v>
      </c>
      <c r="C5" s="2" t="str">
        <f t="shared" si="0"/>
        <v>Invalid</v>
      </c>
    </row>
    <row r="6" spans="1:18" ht="18" thickBot="1" x14ac:dyDescent="0.3">
      <c r="C6" s="2"/>
      <c r="I6" s="7" t="s">
        <v>47</v>
      </c>
      <c r="J6" s="8"/>
      <c r="K6" s="8"/>
      <c r="L6" s="8"/>
      <c r="M6" s="8"/>
      <c r="N6" s="8"/>
      <c r="O6" s="8"/>
      <c r="P6" s="8"/>
      <c r="Q6" s="8"/>
      <c r="R6" s="8"/>
    </row>
    <row r="7" spans="1:18" x14ac:dyDescent="0.25"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x14ac:dyDescent="0.25"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x14ac:dyDescent="0.25"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x14ac:dyDescent="0.25"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x14ac:dyDescent="0.25"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x14ac:dyDescent="0.25"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 x14ac:dyDescent="0.25"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x14ac:dyDescent="0.25"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 x14ac:dyDescent="0.25"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x14ac:dyDescent="0.25"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9:18" x14ac:dyDescent="0.25"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9:18" x14ac:dyDescent="0.25"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9:18" x14ac:dyDescent="0.25"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9:18" x14ac:dyDescent="0.25"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9:18" x14ac:dyDescent="0.25"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9:18" x14ac:dyDescent="0.25"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9:18" x14ac:dyDescent="0.25">
      <c r="I23" s="8"/>
      <c r="J23" s="8"/>
      <c r="K23" s="8"/>
      <c r="L23" s="8"/>
      <c r="M23" s="8"/>
      <c r="N23" s="8"/>
      <c r="O23" s="8"/>
      <c r="P23" s="8"/>
      <c r="Q23" s="8"/>
      <c r="R23" s="8"/>
    </row>
  </sheetData>
  <mergeCells count="1">
    <mergeCell ref="I6:R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Sheet5</vt:lpstr>
      <vt:lpstr>Sheet6</vt:lpstr>
      <vt:lpstr>Sheet7</vt:lpstr>
      <vt:lpstr>Sheet8</vt:lpstr>
      <vt:lpstr>Sheet9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ASDC11</dc:creator>
  <cp:lastModifiedBy>ASDC11</cp:lastModifiedBy>
  <cp:lastPrinted>2026-01-29T10:22:42Z</cp:lastPrinted>
  <dcterms:created xsi:type="dcterms:W3CDTF">2026-01-29T10:12:27Z</dcterms:created>
  <dcterms:modified xsi:type="dcterms:W3CDTF">2026-01-29T11:32:45Z</dcterms:modified>
</cp:coreProperties>
</file>